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alidabakkebo/Documents/NHH - Siviløkonomi/BAN403 V26 Simulation of business processes /"/>
    </mc:Choice>
  </mc:AlternateContent>
  <xr:revisionPtr revIDLastSave="0" documentId="13_ncr:1_{2CE9C8E9-4EC9-3F40-91FF-2CDF5332E7F3}" xr6:coauthVersionLast="47" xr6:coauthVersionMax="47" xr10:uidLastSave="{00000000-0000-0000-0000-000000000000}"/>
  <bookViews>
    <workbookView xWindow="0" yWindow="660" windowWidth="30240" windowHeight="17720" xr2:uid="{5D338939-0D3A-524C-9ADF-6B9898A623E9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D12" i="1"/>
  <c r="D15" i="1"/>
  <c r="D14" i="1"/>
  <c r="D13" i="1"/>
  <c r="D7" i="1"/>
  <c r="D6" i="1"/>
  <c r="D5" i="1"/>
  <c r="D4" i="1"/>
  <c r="D3" i="1"/>
  <c r="D2" i="1"/>
  <c r="C7" i="1"/>
  <c r="C4" i="1"/>
  <c r="C2" i="1"/>
  <c r="B7" i="1"/>
</calcChain>
</file>

<file path=xl/sharedStrings.xml><?xml version="1.0" encoding="utf-8"?>
<sst xmlns="http://schemas.openxmlformats.org/spreadsheetml/2006/main" count="20" uniqueCount="20">
  <si>
    <t xml:space="preserve">Activity </t>
  </si>
  <si>
    <t>Count</t>
  </si>
  <si>
    <t>Time (min)</t>
  </si>
  <si>
    <t>% of total time</t>
  </si>
  <si>
    <t>Operation</t>
  </si>
  <si>
    <t xml:space="preserve">Inspection </t>
  </si>
  <si>
    <t>Transportation</t>
  </si>
  <si>
    <t>Delay</t>
  </si>
  <si>
    <t>Storage</t>
  </si>
  <si>
    <t>Total</t>
  </si>
  <si>
    <t>Task 2.3.3</t>
  </si>
  <si>
    <t>Resource</t>
  </si>
  <si>
    <r>
      <rPr>
        <sz val="12"/>
        <color theme="1"/>
        <rFont val="Times New Roman"/>
        <family val="1"/>
      </rPr>
      <t>Time per unit (</t>
    </r>
    <r>
      <rPr>
        <i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>)</t>
    </r>
  </si>
  <si>
    <r>
      <t>Capacity/day (480/</t>
    </r>
    <r>
      <rPr>
        <i/>
        <sz val="12"/>
        <color theme="1"/>
        <rFont val="Times New Roman"/>
        <family val="1"/>
      </rPr>
      <t>T*C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</si>
  <si>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Times New Roman"/>
        <family val="1"/>
      </rPr>
      <t>number of resource (</t>
    </r>
    <r>
      <rPr>
        <i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)</t>
    </r>
  </si>
  <si>
    <t>Demand</t>
  </si>
  <si>
    <t>Intake clerk</t>
  </si>
  <si>
    <t>Marine invest.</t>
  </si>
  <si>
    <t>Senior adjust.</t>
  </si>
  <si>
    <t>Legal (lawyer)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</si>
</sst>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F2E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1" xfId="0" applyFont="1" applyBorder="1"/>
    <xf numFmtId="0" fontId="1" fillId="2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10" fontId="1" fillId="4" borderId="5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0" fontId="1" fillId="3" borderId="5" xfId="0" applyNumberFormat="1" applyFont="1" applyFill="1" applyBorder="1"/>
    <xf numFmtId="0" fontId="1" fillId="0" borderId="0" xfId="0" applyNumberFormat="1" applyFont="1"/>
    <xf numFmtId="0" fontId="1" fillId="5" borderId="0" xfId="0" applyFont="1" applyFill="1"/>
    <xf numFmtId="0" fontId="2" fillId="5" borderId="0" xfId="0" applyFont="1" applyFill="1"/>
    <xf numFmtId="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2E1"/>
      <color rgb="FFE3F2DF"/>
      <color rgb="FFE7F2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9DED-D4A6-BF43-84F1-2A18C1078C74}">
  <dimension ref="A1:G24"/>
  <sheetViews>
    <sheetView tabSelected="1" zoomScale="150" workbookViewId="0">
      <selection activeCell="D16" sqref="D16"/>
    </sheetView>
  </sheetViews>
  <sheetFormatPr baseColWidth="10" defaultRowHeight="16" x14ac:dyDescent="0.2"/>
  <cols>
    <col min="1" max="1" width="12.83203125" bestFit="1" customWidth="1"/>
    <col min="2" max="2" width="20.33203125" bestFit="1" customWidth="1"/>
    <col min="3" max="3" width="16" customWidth="1"/>
    <col min="4" max="4" width="21.83203125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1"/>
      <c r="F1" s="1"/>
      <c r="G1" s="1"/>
    </row>
    <row r="2" spans="1:7" x14ac:dyDescent="0.2">
      <c r="A2" s="9" t="s">
        <v>4</v>
      </c>
      <c r="B2" s="10">
        <v>5</v>
      </c>
      <c r="C2" s="10">
        <f>1440+480+960+480+30</f>
        <v>3390</v>
      </c>
      <c r="D2" s="11">
        <f>C2/C7</f>
        <v>0.85498108448928123</v>
      </c>
      <c r="E2" s="1"/>
      <c r="F2" s="1"/>
      <c r="G2" s="1"/>
    </row>
    <row r="3" spans="1:7" x14ac:dyDescent="0.2">
      <c r="A3" s="6" t="s">
        <v>5</v>
      </c>
      <c r="B3" s="7">
        <v>1</v>
      </c>
      <c r="C3" s="7">
        <v>20</v>
      </c>
      <c r="D3" s="8">
        <f>C3/C7</f>
        <v>5.0441361916771753E-3</v>
      </c>
      <c r="E3" s="1"/>
      <c r="F3" s="1"/>
      <c r="G3" s="1"/>
    </row>
    <row r="4" spans="1:7" x14ac:dyDescent="0.2">
      <c r="A4" s="9" t="s">
        <v>6</v>
      </c>
      <c r="B4" s="10">
        <v>5</v>
      </c>
      <c r="C4" s="10">
        <f>15+15+15+15+15</f>
        <v>75</v>
      </c>
      <c r="D4" s="11">
        <f>C4/C7</f>
        <v>1.8915510718789406E-2</v>
      </c>
      <c r="E4" s="1"/>
      <c r="F4" s="1"/>
      <c r="G4" s="1"/>
    </row>
    <row r="5" spans="1:7" x14ac:dyDescent="0.2">
      <c r="A5" s="6" t="s">
        <v>7</v>
      </c>
      <c r="B5" s="7">
        <v>1</v>
      </c>
      <c r="C5" s="7">
        <v>480</v>
      </c>
      <c r="D5" s="8">
        <f>C5/C7</f>
        <v>0.12105926860025221</v>
      </c>
      <c r="E5" s="1"/>
      <c r="F5" s="1"/>
      <c r="G5" s="1"/>
    </row>
    <row r="6" spans="1:7" x14ac:dyDescent="0.2">
      <c r="A6" s="9" t="s">
        <v>8</v>
      </c>
      <c r="B6" s="10">
        <v>0</v>
      </c>
      <c r="C6" s="10">
        <v>0</v>
      </c>
      <c r="D6" s="11">
        <f>C6/C7</f>
        <v>0</v>
      </c>
      <c r="E6" s="1"/>
      <c r="F6" s="1"/>
      <c r="G6" s="1"/>
    </row>
    <row r="7" spans="1:7" x14ac:dyDescent="0.2">
      <c r="A7" s="6" t="s">
        <v>9</v>
      </c>
      <c r="B7" s="7">
        <f>SUM(B2:B6)</f>
        <v>12</v>
      </c>
      <c r="C7" s="7">
        <f>SUM(C2:C6)</f>
        <v>3965</v>
      </c>
      <c r="D7" s="8">
        <f>SUM(D2:D6)</f>
        <v>1</v>
      </c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2" t="s">
        <v>10</v>
      </c>
      <c r="B10" s="1"/>
      <c r="C10" s="1"/>
      <c r="D10" s="1"/>
      <c r="E10" s="4"/>
      <c r="F10" s="1"/>
      <c r="G10" s="1"/>
    </row>
    <row r="11" spans="1:7" x14ac:dyDescent="0.2">
      <c r="A11" s="13" t="s">
        <v>11</v>
      </c>
      <c r="B11" s="14" t="s">
        <v>14</v>
      </c>
      <c r="C11" s="14" t="s">
        <v>12</v>
      </c>
      <c r="D11" s="13" t="s">
        <v>13</v>
      </c>
      <c r="E11" s="13" t="s">
        <v>15</v>
      </c>
      <c r="F11" s="1"/>
      <c r="G11" s="1"/>
    </row>
    <row r="12" spans="1:7" x14ac:dyDescent="0.2">
      <c r="A12" s="1" t="s">
        <v>16</v>
      </c>
      <c r="B12" s="1">
        <v>1</v>
      </c>
      <c r="C12" s="1">
        <v>20</v>
      </c>
      <c r="D12" s="2">
        <f>480/C12*B12</f>
        <v>24</v>
      </c>
      <c r="E12" s="3">
        <v>4</v>
      </c>
      <c r="F12" s="1"/>
      <c r="G12" s="1"/>
    </row>
    <row r="13" spans="1:7" x14ac:dyDescent="0.2">
      <c r="A13" s="1" t="s">
        <v>17</v>
      </c>
      <c r="B13" s="1">
        <v>3</v>
      </c>
      <c r="C13" s="1">
        <v>1440</v>
      </c>
      <c r="D13" s="2">
        <f>480/C13*B13</f>
        <v>1</v>
      </c>
      <c r="E13" s="15">
        <f>E12*0.95</f>
        <v>3.8</v>
      </c>
      <c r="F13" s="1"/>
      <c r="G13" s="1"/>
    </row>
    <row r="14" spans="1:7" x14ac:dyDescent="0.2">
      <c r="A14" s="1" t="s">
        <v>18</v>
      </c>
      <c r="B14" s="1">
        <v>2</v>
      </c>
      <c r="C14" s="1">
        <v>480</v>
      </c>
      <c r="D14" s="2">
        <f>480/C14*B14</f>
        <v>2</v>
      </c>
      <c r="E14" s="3">
        <f>E13*0.9*1.25</f>
        <v>4.2750000000000004</v>
      </c>
      <c r="F14" s="1"/>
      <c r="G14" s="1"/>
    </row>
    <row r="15" spans="1:7" x14ac:dyDescent="0.2">
      <c r="A15" s="1" t="s">
        <v>19</v>
      </c>
      <c r="B15" s="1">
        <v>1</v>
      </c>
      <c r="C15" s="1">
        <v>480</v>
      </c>
      <c r="D15" s="2">
        <f>480/C15*B15</f>
        <v>1</v>
      </c>
      <c r="E15" s="3">
        <f>E13*0.9*0.95</f>
        <v>3.2489999999999997</v>
      </c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Alida Bakkebø</dc:creator>
  <cp:lastModifiedBy>Sara Alida Bakkebø</cp:lastModifiedBy>
  <dcterms:created xsi:type="dcterms:W3CDTF">2026-03-05T13:08:21Z</dcterms:created>
  <dcterms:modified xsi:type="dcterms:W3CDTF">2026-03-08T11:53:04Z</dcterms:modified>
</cp:coreProperties>
</file>