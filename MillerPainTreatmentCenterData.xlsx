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nhhit-my.sharepoint.com/personal/peter_tveita_student_nhh_no/Documents/"/>
    </mc:Choice>
  </mc:AlternateContent>
  <xr:revisionPtr revIDLastSave="88" documentId="8_{CA7DA8A1-5CC2-EE4C-95CC-51B3BAD31879}" xr6:coauthVersionLast="47" xr6:coauthVersionMax="47" xr10:uidLastSave="{C20FC3EE-8679-0244-A13B-C9B46B09578A}"/>
  <bookViews>
    <workbookView xWindow="50200" yWindow="0" windowWidth="52200" windowHeight="28800" xr2:uid="{00000000-000D-0000-FFFF-FFFF00000000}"/>
  </bookViews>
  <sheets>
    <sheet name="Exhibit2" sheetId="4" r:id="rId1"/>
    <sheet name="Exhibit3" sheetId="1" r:id="rId2"/>
    <sheet name="Exhibit4" sheetId="5" r:id="rId3"/>
    <sheet name="Exhibit6" sheetId="2" r:id="rId4"/>
    <sheet name="Exhibit7" sheetId="6" r:id="rId5"/>
  </sheets>
  <definedNames>
    <definedName name="_xlchart.v1.0" hidden="1">Exhibit2!$B$1</definedName>
    <definedName name="_xlchart.v1.1" hidden="1">Exhibit2!$B$2:$B$100</definedName>
    <definedName name="_xlchart.v1.10" hidden="1">Exhibit6!$D$2:$D$88</definedName>
    <definedName name="_xlchart.v1.11" hidden="1">Exhibit7!$D$2:$D$101</definedName>
    <definedName name="_xlchart.v1.12" hidden="1">Exhibit7!$C$2:$C$101</definedName>
    <definedName name="_xlchart.v1.13" hidden="1">Exhibit7!$B$2:$B$101</definedName>
    <definedName name="_xlchart.v1.14" hidden="1">Exhibit7!$E$2:$E$101</definedName>
    <definedName name="_xlchart.v1.15" hidden="1">Exhibit7!$E$2:$E$101</definedName>
    <definedName name="_xlchart.v1.2" hidden="1">Exhibit2!$C$2:$C$100</definedName>
    <definedName name="_xlchart.v1.3" hidden="1">Exhibit3!$C$2:$C$100</definedName>
    <definedName name="_xlchart.v1.4" hidden="1">Exhibit3!$D$2:$D$100</definedName>
    <definedName name="_xlchart.v1.5" hidden="1">Exhibit4!$B$2:$B$101</definedName>
    <definedName name="_xlchart.v1.6" hidden="1">Exhibit4!$C$2:$C$74</definedName>
    <definedName name="_xlchart.v1.7" hidden="1">Exhibit6!$B$2:$B$92</definedName>
    <definedName name="_xlchart.v1.8" hidden="1">Exhibit6!$C$2:$C$91</definedName>
    <definedName name="_xlchart.v1.9" hidden="1">Exhibit6!$E$2:$E$92</definedName>
  </definedNames>
  <calcPr calcId="191028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5" i="4" l="1"/>
  <c r="O24" i="4"/>
  <c r="O23" i="4"/>
  <c r="O22" i="4"/>
  <c r="L25" i="4"/>
  <c r="L24" i="4"/>
  <c r="L23" i="4"/>
  <c r="L22" i="4"/>
  <c r="I25" i="4"/>
  <c r="I24" i="4"/>
  <c r="I23" i="4"/>
  <c r="I22" i="4"/>
</calcChain>
</file>

<file path=xl/sharedStrings.xml><?xml version="1.0" encoding="utf-8"?>
<sst xmlns="http://schemas.openxmlformats.org/spreadsheetml/2006/main" count="36" uniqueCount="20">
  <si>
    <t>Record</t>
  </si>
  <si>
    <t>Registration</t>
  </si>
  <si>
    <t>Vitals</t>
  </si>
  <si>
    <t>Physicians Assistant</t>
  </si>
  <si>
    <t>Check Out</t>
  </si>
  <si>
    <t>Attending Time New Patients Private Practice</t>
  </si>
  <si>
    <t>Attending Time Return Patients Private Practice</t>
  </si>
  <si>
    <t>Appointment Time Minus Arrival Time Before Policy Change</t>
  </si>
  <si>
    <t>Appointment Time Minus Arrival Time After Policy Change</t>
  </si>
  <si>
    <t>Resident Review</t>
  </si>
  <si>
    <t>Resident &amp; Patient</t>
  </si>
  <si>
    <t>Teach</t>
  </si>
  <si>
    <t>Resident &amp; Attending</t>
  </si>
  <si>
    <t>Mean</t>
  </si>
  <si>
    <t>Std. Dev.</t>
  </si>
  <si>
    <t>Skew</t>
  </si>
  <si>
    <t>Kurt</t>
  </si>
  <si>
    <t>Registration time</t>
  </si>
  <si>
    <t>Vitals time</t>
  </si>
  <si>
    <t>Resident &amp; Patient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</si>
</sst>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3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" fontId="0" fillId="0" borderId="0" xfId="0" applyNumberFormat="1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1" fillId="0" borderId="0" xfId="0" applyFont="1" applyAlignment="1">
      <alignment horizontal="right" wrapText="1"/>
    </xf>
    <xf numFmtId="0" fontId="5" fillId="0" borderId="0" xfId="0" applyFont="1"/>
    <xf numFmtId="0" fontId="6" fillId="0" borderId="0" xfId="0" applyFont="1" applyAlignment="1">
      <alignment wrapText="1"/>
    </xf>
    <xf numFmtId="43" fontId="2" fillId="0" borderId="0" xfId="131" applyFo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32">
    <cellStyle name="Benyttet hyperkobling" xfId="116" builtinId="9" hidden="1"/>
    <cellStyle name="Benyttet hyperkobling" xfId="124" builtinId="9" hidden="1"/>
    <cellStyle name="Benyttet hyperkobling" xfId="130" builtinId="9" hidden="1"/>
    <cellStyle name="Benyttet hyperkobling" xfId="122" builtinId="9" hidden="1"/>
    <cellStyle name="Benyttet hyperkobling" xfId="114" builtinId="9" hidden="1"/>
    <cellStyle name="Benyttet hyperkobling" xfId="106" builtinId="9" hidden="1"/>
    <cellStyle name="Benyttet hyperkobling" xfId="98" builtinId="9" hidden="1"/>
    <cellStyle name="Benyttet hyperkobling" xfId="90" builtinId="9" hidden="1"/>
    <cellStyle name="Benyttet hyperkobling" xfId="82" builtinId="9" hidden="1"/>
    <cellStyle name="Benyttet hyperkobling" xfId="74" builtinId="9" hidden="1"/>
    <cellStyle name="Benyttet hyperkobling" xfId="66" builtinId="9" hidden="1"/>
    <cellStyle name="Benyttet hyperkobling" xfId="58" builtinId="9" hidden="1"/>
    <cellStyle name="Benyttet hyperkobling" xfId="50" builtinId="9" hidden="1"/>
    <cellStyle name="Benyttet hyperkobling" xfId="42" builtinId="9" hidden="1"/>
    <cellStyle name="Benyttet hyperkobling" xfId="14" builtinId="9" hidden="1"/>
    <cellStyle name="Benyttet hyperkobling" xfId="20" builtinId="9" hidden="1"/>
    <cellStyle name="Benyttet hyperkobling" xfId="24" builtinId="9" hidden="1"/>
    <cellStyle name="Benyttet hyperkobling" xfId="30" builtinId="9" hidden="1"/>
    <cellStyle name="Benyttet hyperkobling" xfId="36" builtinId="9" hidden="1"/>
    <cellStyle name="Benyttet hyperkobling" xfId="26" builtinId="9" hidden="1"/>
    <cellStyle name="Benyttet hyperkobling" xfId="6" builtinId="9" hidden="1"/>
    <cellStyle name="Benyttet hyperkobling" xfId="12" builtinId="9" hidden="1"/>
    <cellStyle name="Benyttet hyperkobling" xfId="4" builtinId="9" hidden="1"/>
    <cellStyle name="Benyttet hyperkobling" xfId="2" builtinId="9" hidden="1"/>
    <cellStyle name="Benyttet hyperkobling" xfId="10" builtinId="9" hidden="1"/>
    <cellStyle name="Benyttet hyperkobling" xfId="8" builtinId="9" hidden="1"/>
    <cellStyle name="Benyttet hyperkobling" xfId="18" builtinId="9" hidden="1"/>
    <cellStyle name="Benyttet hyperkobling" xfId="34" builtinId="9" hidden="1"/>
    <cellStyle name="Benyttet hyperkobling" xfId="32" builtinId="9" hidden="1"/>
    <cellStyle name="Benyttet hyperkobling" xfId="28" builtinId="9" hidden="1"/>
    <cellStyle name="Benyttet hyperkobling" xfId="22" builtinId="9" hidden="1"/>
    <cellStyle name="Benyttet hyperkobling" xfId="16" builtinId="9" hidden="1"/>
    <cellStyle name="Benyttet hyperkobling" xfId="38" builtinId="9" hidden="1"/>
    <cellStyle name="Benyttet hyperkobling" xfId="46" builtinId="9" hidden="1"/>
    <cellStyle name="Benyttet hyperkobling" xfId="54" builtinId="9" hidden="1"/>
    <cellStyle name="Benyttet hyperkobling" xfId="62" builtinId="9" hidden="1"/>
    <cellStyle name="Benyttet hyperkobling" xfId="70" builtinId="9" hidden="1"/>
    <cellStyle name="Benyttet hyperkobling" xfId="78" builtinId="9" hidden="1"/>
    <cellStyle name="Benyttet hyperkobling" xfId="86" builtinId="9" hidden="1"/>
    <cellStyle name="Benyttet hyperkobling" xfId="94" builtinId="9" hidden="1"/>
    <cellStyle name="Benyttet hyperkobling" xfId="102" builtinId="9" hidden="1"/>
    <cellStyle name="Benyttet hyperkobling" xfId="110" builtinId="9" hidden="1"/>
    <cellStyle name="Benyttet hyperkobling" xfId="118" builtinId="9" hidden="1"/>
    <cellStyle name="Benyttet hyperkobling" xfId="126" builtinId="9" hidden="1"/>
    <cellStyle name="Benyttet hyperkobling" xfId="128" builtinId="9" hidden="1"/>
    <cellStyle name="Benyttet hyperkobling" xfId="120" builtinId="9" hidden="1"/>
    <cellStyle name="Benyttet hyperkobling" xfId="112" builtinId="9" hidden="1"/>
    <cellStyle name="Benyttet hyperkobling" xfId="64" builtinId="9" hidden="1"/>
    <cellStyle name="Benyttet hyperkobling" xfId="68" builtinId="9" hidden="1"/>
    <cellStyle name="Benyttet hyperkobling" xfId="76" builtinId="9" hidden="1"/>
    <cellStyle name="Benyttet hyperkobling" xfId="80" builtinId="9" hidden="1"/>
    <cellStyle name="Benyttet hyperkobling" xfId="84" builtinId="9" hidden="1"/>
    <cellStyle name="Benyttet hyperkobling" xfId="92" builtinId="9" hidden="1"/>
    <cellStyle name="Benyttet hyperkobling" xfId="96" builtinId="9" hidden="1"/>
    <cellStyle name="Benyttet hyperkobling" xfId="100" builtinId="9" hidden="1"/>
    <cellStyle name="Benyttet hyperkobling" xfId="108" builtinId="9" hidden="1"/>
    <cellStyle name="Benyttet hyperkobling" xfId="104" builtinId="9" hidden="1"/>
    <cellStyle name="Benyttet hyperkobling" xfId="88" builtinId="9" hidden="1"/>
    <cellStyle name="Benyttet hyperkobling" xfId="72" builtinId="9" hidden="1"/>
    <cellStyle name="Benyttet hyperkobling" xfId="48" builtinId="9" hidden="1"/>
    <cellStyle name="Benyttet hyperkobling" xfId="52" builtinId="9" hidden="1"/>
    <cellStyle name="Benyttet hyperkobling" xfId="60" builtinId="9" hidden="1"/>
    <cellStyle name="Benyttet hyperkobling" xfId="56" builtinId="9" hidden="1"/>
    <cellStyle name="Benyttet hyperkobling" xfId="44" builtinId="9" hidden="1"/>
    <cellStyle name="Benyttet hyperkobling" xfId="40" builtinId="9" hidden="1"/>
    <cellStyle name="Hyperkobling" xfId="109" builtinId="8" hidden="1"/>
    <cellStyle name="Hyperkobling" xfId="93" builtinId="8" hidden="1"/>
    <cellStyle name="Hyperkobling" xfId="85" builtinId="8" hidden="1"/>
    <cellStyle name="Hyperkobling" xfId="77" builtinId="8" hidden="1"/>
    <cellStyle name="Hyperkobling" xfId="61" builtinId="8" hidden="1"/>
    <cellStyle name="Hyperkobling" xfId="25" builtinId="8" hidden="1"/>
    <cellStyle name="Hyperkobling" xfId="27" builtinId="8" hidden="1"/>
    <cellStyle name="Hyperkobling" xfId="33" builtinId="8" hidden="1"/>
    <cellStyle name="Hyperkobling" xfId="35" builtinId="8" hidden="1"/>
    <cellStyle name="Hyperkobling" xfId="37" builtinId="8" hidden="1"/>
    <cellStyle name="Hyperkobling" xfId="41" builtinId="8" hidden="1"/>
    <cellStyle name="Hyperkobling" xfId="43" builtinId="8" hidden="1"/>
    <cellStyle name="Hyperkobling" xfId="47" builtinId="8" hidden="1"/>
    <cellStyle name="Hyperkobling" xfId="51" builtinId="8" hidden="1"/>
    <cellStyle name="Hyperkobling" xfId="53" builtinId="8" hidden="1"/>
    <cellStyle name="Hyperkobling" xfId="55" builtinId="8" hidden="1"/>
    <cellStyle name="Hyperkobling" xfId="45" builtinId="8" hidden="1"/>
    <cellStyle name="Hyperkobling" xfId="29" builtinId="8" hidden="1"/>
    <cellStyle name="Hyperkobling" xfId="11" builtinId="8" hidden="1"/>
    <cellStyle name="Hyperkobling" xfId="17" builtinId="8" hidden="1"/>
    <cellStyle name="Hyperkobling" xfId="19" builtinId="8" hidden="1"/>
    <cellStyle name="Hyperkobling" xfId="21" builtinId="8" hidden="1"/>
    <cellStyle name="Hyperkobling" xfId="13" builtinId="8" hidden="1"/>
    <cellStyle name="Hyperkobling" xfId="5" builtinId="8" hidden="1"/>
    <cellStyle name="Hyperkobling" xfId="7" builtinId="8" hidden="1"/>
    <cellStyle name="Hyperkobling" xfId="3" builtinId="8" hidden="1"/>
    <cellStyle name="Hyperkobling" xfId="1" builtinId="8" hidden="1"/>
    <cellStyle name="Hyperkobling" xfId="9" builtinId="8" hidden="1"/>
    <cellStyle name="Hyperkobling" xfId="23" builtinId="8" hidden="1"/>
    <cellStyle name="Hyperkobling" xfId="15" builtinId="8" hidden="1"/>
    <cellStyle name="Hyperkobling" xfId="57" builtinId="8" hidden="1"/>
    <cellStyle name="Hyperkobling" xfId="49" builtinId="8" hidden="1"/>
    <cellStyle name="Hyperkobling" xfId="39" builtinId="8" hidden="1"/>
    <cellStyle name="Hyperkobling" xfId="31" builtinId="8" hidden="1"/>
    <cellStyle name="Hyperkobling" xfId="69" builtinId="8" hidden="1"/>
    <cellStyle name="Hyperkobling" xfId="101" builtinId="8" hidden="1"/>
    <cellStyle name="Hyperkobling" xfId="91" builtinId="8" hidden="1"/>
    <cellStyle name="Hyperkobling" xfId="95" builtinId="8" hidden="1"/>
    <cellStyle name="Hyperkobling" xfId="99" builtinId="8" hidden="1"/>
    <cellStyle name="Hyperkobling" xfId="103" builtinId="8" hidden="1"/>
    <cellStyle name="Hyperkobling" xfId="105" builtinId="8" hidden="1"/>
    <cellStyle name="Hyperkobling" xfId="107" builtinId="8" hidden="1"/>
    <cellStyle name="Hyperkobling" xfId="111" builtinId="8" hidden="1"/>
    <cellStyle name="Hyperkobling" xfId="113" builtinId="8" hidden="1"/>
    <cellStyle name="Hyperkobling" xfId="115" builtinId="8" hidden="1"/>
    <cellStyle name="Hyperkobling" xfId="121" builtinId="8" hidden="1"/>
    <cellStyle name="Hyperkobling" xfId="123" builtinId="8" hidden="1"/>
    <cellStyle name="Hyperkobling" xfId="127" builtinId="8" hidden="1"/>
    <cellStyle name="Hyperkobling" xfId="129" builtinId="8" hidden="1"/>
    <cellStyle name="Hyperkobling" xfId="125" builtinId="8" hidden="1"/>
    <cellStyle name="Hyperkobling" xfId="117" builtinId="8" hidden="1"/>
    <cellStyle name="Hyperkobling" xfId="119" builtinId="8" hidden="1"/>
    <cellStyle name="Hyperkobling" xfId="97" builtinId="8" hidden="1"/>
    <cellStyle name="Hyperkobling" xfId="73" builtinId="8" hidden="1"/>
    <cellStyle name="Hyperkobling" xfId="79" builtinId="8" hidden="1"/>
    <cellStyle name="Hyperkobling" xfId="81" builtinId="8" hidden="1"/>
    <cellStyle name="Hyperkobling" xfId="83" builtinId="8" hidden="1"/>
    <cellStyle name="Hyperkobling" xfId="87" builtinId="8" hidden="1"/>
    <cellStyle name="Hyperkobling" xfId="89" builtinId="8" hidden="1"/>
    <cellStyle name="Hyperkobling" xfId="75" builtinId="8" hidden="1"/>
    <cellStyle name="Hyperkobling" xfId="65" builtinId="8" hidden="1"/>
    <cellStyle name="Hyperkobling" xfId="67" builtinId="8" hidden="1"/>
    <cellStyle name="Hyperkobling" xfId="71" builtinId="8" hidden="1"/>
    <cellStyle name="Hyperkobling" xfId="63" builtinId="8" hidden="1"/>
    <cellStyle name="Hyperkobling" xfId="59" builtinId="8" hidden="1"/>
    <cellStyle name="Komma" xfId="13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Registration time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Registration time</a:t>
          </a:r>
        </a:p>
      </cx:txPr>
    </cx:title>
    <cx:plotArea>
      <cx:plotAreaRegion>
        <cx:series layoutId="clusteredColumn" uniqueId="{52D55649-23AA-974E-9C5A-ECCE864A93EF}">
          <cx:tx>
            <cx:txData>
              <cx:f>_xlchart.v1.0</cx:f>
              <cx:v>Registration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Vitals time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Vitals time</a:t>
          </a:r>
        </a:p>
      </cx:txPr>
    </cx:title>
    <cx:plotArea>
      <cx:plotAreaRegion>
        <cx:series layoutId="clusteredColumn" uniqueId="{FF090848-70FE-F244-8A61-4BFF974D8F0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New  patients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New  patients</a:t>
          </a:r>
        </a:p>
      </cx:txPr>
    </cx:title>
    <cx:plotArea>
      <cx:plotAreaRegion>
        <cx:series layoutId="clusteredColumn" uniqueId="{A3FC79BE-B87D-9E42-B53C-8216FD19782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Return patients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Return patients</a:t>
          </a:r>
        </a:p>
      </cx:txPr>
    </cx:title>
    <cx:plotArea>
      <cx:plotAreaRegion>
        <cx:series layoutId="clusteredColumn" uniqueId="{AE02D6EF-E80E-7440-A318-E9D5C870368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Deviation in appointment time before policy change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Deviation in appointment time before policy change</a:t>
          </a:r>
        </a:p>
      </cx:txPr>
    </cx:title>
    <cx:plotArea>
      <cx:plotAreaRegion>
        <cx:series layoutId="clusteredColumn" uniqueId="{DC67E986-F9C8-1147-A390-279CC55A82A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nb-NO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Deviation in appointment time after policy change</a:t>
            </a:r>
            <a:endParaRPr lang="nb-NO">
              <a:effectLst/>
            </a:endParaRPr>
          </a:p>
        </cx:rich>
      </cx:tx>
    </cx:title>
    <cx:plotArea>
      <cx:plotAreaRegion>
        <cx:series layoutId="clusteredColumn" uniqueId="{7AD595ED-4C89-2A4D-9D93-0D525B0E876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Resident &amp; Patient time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Resident &amp; Patient time</a:t>
          </a:r>
        </a:p>
      </cx:txPr>
    </cx:title>
    <cx:plotArea>
      <cx:plotAreaRegion>
        <cx:series layoutId="clusteredColumn" uniqueId="{97E24BE6-EFDA-8540-ACCE-60C8B754167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Resident review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Resident review</a:t>
          </a:r>
        </a:p>
      </cx:txPr>
    </cx:title>
    <cx:plotArea>
      <cx:plotAreaRegion>
        <cx:series layoutId="clusteredColumn" uniqueId="{C956E0CB-74C3-1D45-9C85-6433FF901BE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Teach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Teach</a:t>
          </a:r>
        </a:p>
      </cx:txPr>
    </cx:title>
    <cx:plotArea>
      <cx:plotAreaRegion>
        <cx:series layoutId="clusteredColumn" uniqueId="{C73D023C-A99D-724B-A31A-7F9F5F7BC40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Resident and attending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Resident and attending</a:t>
          </a:r>
        </a:p>
      </cx:txPr>
    </cx:title>
    <cx:plotArea>
      <cx:plotAreaRegion>
        <cx:series layoutId="clusteredColumn" uniqueId="{F72C5EB4-DDA2-8B43-B26D-6DD6B03BD4A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Resident review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Resident review</a:t>
          </a:r>
        </a:p>
      </cx:txPr>
    </cx:title>
    <cx:plotArea>
      <cx:plotAreaRegion>
        <cx:series layoutId="clusteredColumn" uniqueId="{C4E2A604-C569-0547-B41E-220BE77C165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Resident &amp; Patient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Resident &amp; Patient</a:t>
          </a:r>
        </a:p>
      </cx:txPr>
    </cx:title>
    <cx:plotArea>
      <cx:plotAreaRegion>
        <cx:series layoutId="clusteredColumn" uniqueId="{CF42BE66-57D7-5D4B-8F97-99BD04E59CD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Teach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Teach</a:t>
          </a:r>
        </a:p>
      </cx:txPr>
    </cx:title>
    <cx:plotArea>
      <cx:plotAreaRegion>
        <cx:series layoutId="clusteredColumn" uniqueId="{C57CD03B-4CA1-724B-BCCC-79BBE635A53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Resident &amp; Attending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Resident &amp; Attending</a:t>
          </a:r>
        </a:p>
      </cx:txPr>
    </cx:title>
    <cx:plotArea>
      <cx:plotAreaRegion>
        <cx:series layoutId="clusteredColumn" uniqueId="{723BD4FA-3058-2143-9CC2-FC443BF20F2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9.xml"/><Relationship Id="rId2" Type="http://schemas.microsoft.com/office/2014/relationships/chartEx" Target="../charts/chartEx8.xml"/><Relationship Id="rId1" Type="http://schemas.microsoft.com/office/2014/relationships/chartEx" Target="../charts/chartEx7.xml"/><Relationship Id="rId4" Type="http://schemas.microsoft.com/office/2014/relationships/chartEx" Target="../charts/chartEx10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13.xml"/><Relationship Id="rId2" Type="http://schemas.microsoft.com/office/2014/relationships/chartEx" Target="../charts/chartEx12.xml"/><Relationship Id="rId1" Type="http://schemas.microsoft.com/office/2014/relationships/chartEx" Target="../charts/chartEx11.xml"/><Relationship Id="rId4" Type="http://schemas.microsoft.com/office/2014/relationships/chartEx" Target="../charts/chartEx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121920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5BAC77C5-38C9-F601-2C65-964C28E745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0800" y="825500"/>
              <a:ext cx="550672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  <xdr:twoCellAnchor>
    <xdr:from>
      <xdr:col>15</xdr:col>
      <xdr:colOff>655320</xdr:colOff>
      <xdr:row>1</xdr:row>
      <xdr:rowOff>0</xdr:rowOff>
    </xdr:from>
    <xdr:to>
      <xdr:col>24</xdr:col>
      <xdr:colOff>106680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EBD10EDE-24E9-4333-0013-FA769F3248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0920" y="825500"/>
              <a:ext cx="550926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1</xdr:row>
      <xdr:rowOff>25400</xdr:rowOff>
    </xdr:from>
    <xdr:to>
      <xdr:col>11</xdr:col>
      <xdr:colOff>527050</xdr:colOff>
      <xdr:row>14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D33D808A-703B-5211-4BBC-7B03035D61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6550" y="850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  <xdr:twoCellAnchor>
    <xdr:from>
      <xdr:col>12</xdr:col>
      <xdr:colOff>25400</xdr:colOff>
      <xdr:row>1</xdr:row>
      <xdr:rowOff>0</xdr:rowOff>
    </xdr:from>
    <xdr:to>
      <xdr:col>18</xdr:col>
      <xdr:colOff>558800</xdr:colOff>
      <xdr:row>14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A2696A67-93BF-B21E-CE62-F4AD420B7F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0000" y="825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869950</xdr:colOff>
      <xdr:row>1</xdr:row>
      <xdr:rowOff>0</xdr:rowOff>
    </xdr:from>
    <xdr:to>
      <xdr:col>9</xdr:col>
      <xdr:colOff>184150</xdr:colOff>
      <xdr:row>14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0A5B7057-C1E4-9927-559E-7CC85B89CF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4050" y="863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  <xdr:twoCellAnchor>
    <xdr:from>
      <xdr:col>9</xdr:col>
      <xdr:colOff>850900</xdr:colOff>
      <xdr:row>0</xdr:row>
      <xdr:rowOff>859945</xdr:rowOff>
    </xdr:from>
    <xdr:to>
      <xdr:col>15</xdr:col>
      <xdr:colOff>165100</xdr:colOff>
      <xdr:row>14</xdr:row>
      <xdr:rowOff>91366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AFE7D655-DD4F-60D2-54F4-A8F8E860B9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3490" y="859945"/>
              <a:ext cx="4576934" cy="271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341002</xdr:colOff>
      <xdr:row>0</xdr:row>
      <xdr:rowOff>379686</xdr:rowOff>
    </xdr:from>
    <xdr:to>
      <xdr:col>21</xdr:col>
      <xdr:colOff>453517</xdr:colOff>
      <xdr:row>19</xdr:row>
      <xdr:rowOff>12422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A7D2DE23-0FC2-036C-5031-CDB9536745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66634" y="379686"/>
              <a:ext cx="5484469" cy="3749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  <xdr:twoCellAnchor>
    <xdr:from>
      <xdr:col>5</xdr:col>
      <xdr:colOff>655436</xdr:colOff>
      <xdr:row>0</xdr:row>
      <xdr:rowOff>416617</xdr:rowOff>
    </xdr:from>
    <xdr:to>
      <xdr:col>12</xdr:col>
      <xdr:colOff>526976</xdr:colOff>
      <xdr:row>14</xdr:row>
      <xdr:rowOff>65104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A79370DF-6AA5-01F3-C0B7-A8502A5878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09114" y="41661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  <xdr:twoCellAnchor>
    <xdr:from>
      <xdr:col>6</xdr:col>
      <xdr:colOff>115322</xdr:colOff>
      <xdr:row>22</xdr:row>
      <xdr:rowOff>66273</xdr:rowOff>
    </xdr:from>
    <xdr:to>
      <xdr:col>12</xdr:col>
      <xdr:colOff>658356</xdr:colOff>
      <xdr:row>35</xdr:row>
      <xdr:rowOff>152691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 3">
              <a:extLst>
                <a:ext uri="{FF2B5EF4-FFF2-40B4-BE49-F238E27FC236}">
                  <a16:creationId xmlns:a16="http://schemas.microsoft.com/office/drawing/2014/main" id="{989FD45B-8692-D0E4-9D84-60B9C944D9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40494" y="479592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  <xdr:twoCellAnchor>
    <xdr:from>
      <xdr:col>13</xdr:col>
      <xdr:colOff>524058</xdr:colOff>
      <xdr:row>21</xdr:row>
      <xdr:rowOff>22480</xdr:rowOff>
    </xdr:from>
    <xdr:to>
      <xdr:col>20</xdr:col>
      <xdr:colOff>395598</xdr:colOff>
      <xdr:row>34</xdr:row>
      <xdr:rowOff>108898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 4">
              <a:extLst>
                <a:ext uri="{FF2B5EF4-FFF2-40B4-BE49-F238E27FC236}">
                  <a16:creationId xmlns:a16="http://schemas.microsoft.com/office/drawing/2014/main" id="{394C4FC7-5766-80FD-0DF1-CEC06D93D0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9690" y="454776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233432</xdr:colOff>
      <xdr:row>1</xdr:row>
      <xdr:rowOff>179038</xdr:rowOff>
    </xdr:from>
    <xdr:to>
      <xdr:col>13</xdr:col>
      <xdr:colOff>111512</xdr:colOff>
      <xdr:row>15</xdr:row>
      <xdr:rowOff>77438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DD17E342-BB7A-306F-35D7-F28F87D716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4773" y="612697"/>
              <a:ext cx="4539910" cy="2717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  <xdr:twoCellAnchor>
    <xdr:from>
      <xdr:col>13</xdr:col>
      <xdr:colOff>416622</xdr:colOff>
      <xdr:row>0</xdr:row>
      <xdr:rowOff>332059</xdr:rowOff>
    </xdr:from>
    <xdr:to>
      <xdr:col>20</xdr:col>
      <xdr:colOff>326793</xdr:colOff>
      <xdr:row>14</xdr:row>
      <xdr:rowOff>24161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ADA29876-9A7F-D9F8-2A5A-E8583E910A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29793" y="33205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  <xdr:twoCellAnchor>
    <xdr:from>
      <xdr:col>6</xdr:col>
      <xdr:colOff>199793</xdr:colOff>
      <xdr:row>16</xdr:row>
      <xdr:rowOff>192669</xdr:rowOff>
    </xdr:from>
    <xdr:to>
      <xdr:col>13</xdr:col>
      <xdr:colOff>109963</xdr:colOff>
      <xdr:row>30</xdr:row>
      <xdr:rowOff>117088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 3">
              <a:extLst>
                <a:ext uri="{FF2B5EF4-FFF2-40B4-BE49-F238E27FC236}">
                  <a16:creationId xmlns:a16="http://schemas.microsoft.com/office/drawing/2014/main" id="{7B5F67D1-C591-993D-3E55-F63B804317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1134" y="364644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  <xdr:twoCellAnchor>
    <xdr:from>
      <xdr:col>13</xdr:col>
      <xdr:colOff>617963</xdr:colOff>
      <xdr:row>15</xdr:row>
      <xdr:rowOff>192668</xdr:rowOff>
    </xdr:from>
    <xdr:to>
      <xdr:col>20</xdr:col>
      <xdr:colOff>528134</xdr:colOff>
      <xdr:row>29</xdr:row>
      <xdr:rowOff>117087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 4">
              <a:extLst>
                <a:ext uri="{FF2B5EF4-FFF2-40B4-BE49-F238E27FC236}">
                  <a16:creationId xmlns:a16="http://schemas.microsoft.com/office/drawing/2014/main" id="{7F153E54-08F6-FA9A-73DF-F66E98271F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31134" y="344510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zoomScale="125" workbookViewId="0">
      <selection activeCell="E1" sqref="E1"/>
    </sheetView>
  </sheetViews>
  <sheetFormatPr baseColWidth="10" defaultColWidth="8.83203125" defaultRowHeight="16" x14ac:dyDescent="0.2"/>
  <cols>
    <col min="1" max="1" width="17.83203125" style="2" customWidth="1"/>
    <col min="2" max="2" width="13.83203125" style="2" customWidth="1"/>
    <col min="3" max="4" width="14.1640625" style="2" customWidth="1"/>
    <col min="5" max="5" width="13.83203125" style="2" customWidth="1"/>
    <col min="6" max="6" width="1.33203125" style="5" customWidth="1"/>
    <col min="7" max="16384" width="8.83203125" style="2"/>
  </cols>
  <sheetData>
    <row r="1" spans="1:6" s="1" customFormat="1" ht="6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pans="1:6" x14ac:dyDescent="0.2">
      <c r="A2" s="2">
        <v>1</v>
      </c>
      <c r="B2" s="2">
        <v>8.999999999999968</v>
      </c>
      <c r="C2" s="2">
        <v>2.9999999999999893</v>
      </c>
      <c r="D2" s="3">
        <v>14.999999999999947</v>
      </c>
      <c r="E2" s="2">
        <v>0.99999999999999645</v>
      </c>
    </row>
    <row r="3" spans="1:6" x14ac:dyDescent="0.2">
      <c r="A3" s="2">
        <v>2</v>
      </c>
      <c r="B3" s="2">
        <v>3.9999999999999858</v>
      </c>
      <c r="C3" s="2">
        <v>1.9999999999999929</v>
      </c>
      <c r="D3" s="3">
        <v>25.999999999999986</v>
      </c>
      <c r="E3" s="2">
        <v>5.0000000000001421</v>
      </c>
    </row>
    <row r="4" spans="1:6" x14ac:dyDescent="0.2">
      <c r="A4" s="2">
        <v>3</v>
      </c>
      <c r="B4" s="2">
        <v>8.9999999999998082</v>
      </c>
      <c r="C4" s="2">
        <v>3</v>
      </c>
      <c r="D4" s="3">
        <v>47.000000000000071</v>
      </c>
      <c r="E4" s="2">
        <v>3.9999999999999858</v>
      </c>
    </row>
    <row r="5" spans="1:6" x14ac:dyDescent="0.2">
      <c r="A5" s="2">
        <v>4</v>
      </c>
      <c r="B5" s="2">
        <v>7.9999999999999716</v>
      </c>
      <c r="C5" s="2">
        <v>3.0000000000000693</v>
      </c>
      <c r="D5" s="3">
        <v>24.000000000000075</v>
      </c>
      <c r="E5" s="2">
        <v>10.000000000000044</v>
      </c>
    </row>
    <row r="6" spans="1:6" x14ac:dyDescent="0.2">
      <c r="A6" s="2">
        <v>5</v>
      </c>
      <c r="B6" s="2">
        <v>3.9999999999999858</v>
      </c>
      <c r="C6" s="2">
        <v>3.9999999999999858</v>
      </c>
      <c r="D6" s="3">
        <v>55.999999999999957</v>
      </c>
      <c r="E6" s="2">
        <v>8.9999999999998082</v>
      </c>
    </row>
    <row r="7" spans="1:6" x14ac:dyDescent="0.2">
      <c r="A7" s="2">
        <v>6</v>
      </c>
      <c r="B7" s="2">
        <v>2.9999999999999893</v>
      </c>
      <c r="C7" s="2">
        <v>0.99999999999999645</v>
      </c>
      <c r="D7" s="3">
        <v>21.000000000000007</v>
      </c>
      <c r="E7" s="2">
        <v>7.0000000000000551</v>
      </c>
    </row>
    <row r="8" spans="1:6" x14ac:dyDescent="0.2">
      <c r="A8" s="2">
        <v>7</v>
      </c>
      <c r="B8" s="2">
        <v>1.9999999999999929</v>
      </c>
      <c r="C8" s="2">
        <v>2.9999999999999893</v>
      </c>
      <c r="D8" s="3">
        <v>11.999999999999957</v>
      </c>
      <c r="E8" s="2">
        <v>2.9999999999999893</v>
      </c>
    </row>
    <row r="9" spans="1:6" x14ac:dyDescent="0.2">
      <c r="A9" s="2">
        <v>8</v>
      </c>
      <c r="B9" s="2">
        <v>1.0000000000001563</v>
      </c>
      <c r="C9" s="2">
        <v>2.9999999999999893</v>
      </c>
      <c r="D9" s="3">
        <v>19.000000000000014</v>
      </c>
      <c r="E9" s="2">
        <v>3.9999999999999858</v>
      </c>
    </row>
    <row r="10" spans="1:6" x14ac:dyDescent="0.2">
      <c r="A10" s="2">
        <v>9</v>
      </c>
      <c r="B10" s="2">
        <v>5.9999999999999787</v>
      </c>
      <c r="C10" s="2">
        <v>2.9999999999999893</v>
      </c>
      <c r="D10" s="3">
        <v>9.000000000000048</v>
      </c>
      <c r="E10" s="2">
        <v>4.9999999999999822</v>
      </c>
    </row>
    <row r="11" spans="1:6" x14ac:dyDescent="0.2">
      <c r="A11" s="2">
        <v>10</v>
      </c>
      <c r="B11" s="2">
        <v>7.9999999999999716</v>
      </c>
      <c r="C11" s="2">
        <v>2.9999999999999893</v>
      </c>
      <c r="D11" s="3">
        <v>21.000000000000085</v>
      </c>
      <c r="E11" s="2">
        <v>0.99999999999999645</v>
      </c>
    </row>
    <row r="12" spans="1:6" x14ac:dyDescent="0.2">
      <c r="A12" s="2">
        <v>11</v>
      </c>
      <c r="B12" s="2">
        <v>3.9999999999999858</v>
      </c>
      <c r="C12" s="2">
        <v>3.0000000000000693</v>
      </c>
      <c r="D12" s="3">
        <v>13.99999999999995</v>
      </c>
      <c r="E12" s="2">
        <v>1.0000000000000764</v>
      </c>
    </row>
    <row r="13" spans="1:6" x14ac:dyDescent="0.2">
      <c r="A13" s="2">
        <v>12</v>
      </c>
      <c r="B13" s="2">
        <v>3.9999999999999858</v>
      </c>
      <c r="C13" s="2">
        <v>3.0000000000000693</v>
      </c>
      <c r="D13" s="3">
        <v>12.999999999999954</v>
      </c>
      <c r="E13" s="2">
        <v>6.0000000000001386</v>
      </c>
    </row>
    <row r="14" spans="1:6" x14ac:dyDescent="0.2">
      <c r="A14" s="2">
        <v>13</v>
      </c>
      <c r="B14" s="2">
        <v>3.9999999999999858</v>
      </c>
      <c r="C14" s="2">
        <v>1.9999999999999929</v>
      </c>
      <c r="D14" s="3">
        <v>20.999999999999925</v>
      </c>
      <c r="E14" s="2">
        <v>2.9999999999999094</v>
      </c>
    </row>
    <row r="15" spans="1:6" x14ac:dyDescent="0.2">
      <c r="A15" s="2">
        <v>14</v>
      </c>
      <c r="B15" s="2">
        <v>11.000000000000041</v>
      </c>
      <c r="C15" s="2">
        <v>1.9999999999999929</v>
      </c>
      <c r="D15" s="3">
        <v>25.999999999999908</v>
      </c>
      <c r="E15" s="2">
        <v>2.0000000000000728</v>
      </c>
    </row>
    <row r="16" spans="1:6" x14ac:dyDescent="0.2">
      <c r="A16" s="2">
        <v>15</v>
      </c>
      <c r="B16" s="2">
        <v>2.0000000000000728</v>
      </c>
      <c r="C16" s="2">
        <v>2.9999999999999893</v>
      </c>
      <c r="D16" s="3">
        <v>31.999999999999964</v>
      </c>
      <c r="E16" s="2">
        <v>3.9999999999999858</v>
      </c>
    </row>
    <row r="17" spans="1:15" x14ac:dyDescent="0.2">
      <c r="A17" s="2">
        <v>16</v>
      </c>
      <c r="B17" s="2">
        <v>2.9999999999999094</v>
      </c>
      <c r="C17" s="2">
        <v>3.0000000000000693</v>
      </c>
      <c r="D17" s="3">
        <v>25.000000000000071</v>
      </c>
      <c r="E17" s="2">
        <v>7.9999999999999716</v>
      </c>
    </row>
    <row r="18" spans="1:15" x14ac:dyDescent="0.2">
      <c r="A18" s="2">
        <v>17</v>
      </c>
      <c r="B18" s="2">
        <v>7.0000000000000551</v>
      </c>
      <c r="C18" s="2">
        <v>4.9999999999999023</v>
      </c>
      <c r="D18" s="3">
        <v>23</v>
      </c>
      <c r="E18" s="2">
        <v>1.9999999999999929</v>
      </c>
    </row>
    <row r="19" spans="1:15" x14ac:dyDescent="0.2">
      <c r="A19" s="2">
        <v>18</v>
      </c>
      <c r="B19" s="2">
        <v>2.9999999999999893</v>
      </c>
      <c r="C19" s="2">
        <v>3.9999999999999858</v>
      </c>
      <c r="D19" s="3">
        <v>17.999999999999936</v>
      </c>
      <c r="E19" s="2">
        <v>1.9999999999999929</v>
      </c>
    </row>
    <row r="20" spans="1:15" x14ac:dyDescent="0.2">
      <c r="A20" s="2">
        <v>19</v>
      </c>
      <c r="B20" s="2">
        <v>2.9999999999999893</v>
      </c>
      <c r="C20" s="2">
        <v>0.99999999999999645</v>
      </c>
      <c r="D20" s="3">
        <v>42.000000000000171</v>
      </c>
      <c r="E20" s="2">
        <v>5.9999999999999787</v>
      </c>
    </row>
    <row r="21" spans="1:15" x14ac:dyDescent="0.2">
      <c r="A21" s="2">
        <v>20</v>
      </c>
      <c r="B21" s="2">
        <v>2.9999999999999893</v>
      </c>
      <c r="C21" s="2">
        <v>1.9999999999999929</v>
      </c>
      <c r="D21" s="3">
        <v>16.000000000000021</v>
      </c>
      <c r="E21" s="2">
        <v>2.9999999999999893</v>
      </c>
      <c r="H21" s="10" t="s">
        <v>17</v>
      </c>
      <c r="I21" s="10"/>
      <c r="K21" s="10" t="s">
        <v>18</v>
      </c>
      <c r="L21" s="10"/>
      <c r="N21" s="11" t="s">
        <v>19</v>
      </c>
      <c r="O21" s="11"/>
    </row>
    <row r="22" spans="1:15" x14ac:dyDescent="0.2">
      <c r="A22" s="2">
        <v>21</v>
      </c>
      <c r="B22" s="2">
        <v>1.9999999999999929</v>
      </c>
      <c r="C22" s="2">
        <v>4.9999999999999822</v>
      </c>
      <c r="D22" s="3">
        <v>22.000000000000082</v>
      </c>
      <c r="E22" s="2">
        <v>1.9999999999999929</v>
      </c>
      <c r="H22" s="2" t="s">
        <v>13</v>
      </c>
      <c r="I22" s="9">
        <f>AVERAGE(B2:B100)</f>
        <v>4.3333333333333348</v>
      </c>
      <c r="K22" s="2" t="s">
        <v>13</v>
      </c>
      <c r="L22" s="9">
        <f>AVERAGE(C2:C100)</f>
        <v>3.5252525252525375</v>
      </c>
      <c r="N22" s="2" t="s">
        <v>13</v>
      </c>
      <c r="O22" s="9">
        <f>AVERAGE(Exhibit6!C2:C91)</f>
        <v>20.155555555555555</v>
      </c>
    </row>
    <row r="23" spans="1:15" x14ac:dyDescent="0.2">
      <c r="A23" s="2">
        <v>22</v>
      </c>
      <c r="B23" s="2">
        <v>3.9999999999999858</v>
      </c>
      <c r="C23" s="2">
        <v>4.9999999999999822</v>
      </c>
      <c r="D23" s="3">
        <v>19.000000000000092</v>
      </c>
      <c r="E23" s="2">
        <v>3.9999999999999858</v>
      </c>
      <c r="H23" s="2" t="s">
        <v>14</v>
      </c>
      <c r="I23" s="9">
        <f>STDEV(B2:B100)</f>
        <v>2.684042032579415</v>
      </c>
      <c r="K23" s="2" t="s">
        <v>14</v>
      </c>
      <c r="L23" s="9">
        <f>STDEV(C2:C100)</f>
        <v>1.7458021625265341</v>
      </c>
      <c r="N23" s="2" t="s">
        <v>14</v>
      </c>
      <c r="O23" s="9">
        <f>STDEV(Exhibit6!C2:C91)</f>
        <v>10.82123496151822</v>
      </c>
    </row>
    <row r="24" spans="1:15" x14ac:dyDescent="0.2">
      <c r="A24" s="2">
        <v>23</v>
      </c>
      <c r="B24" s="2">
        <v>0.99999999999999645</v>
      </c>
      <c r="C24" s="2">
        <v>3.9999999999999858</v>
      </c>
      <c r="D24" s="3">
        <v>25.000000000000071</v>
      </c>
      <c r="E24" s="2">
        <v>2.9999999999999094</v>
      </c>
      <c r="H24" s="2" t="s">
        <v>15</v>
      </c>
      <c r="I24" s="9">
        <f>SKEW(B2:B100)</f>
        <v>1.7619527000874109</v>
      </c>
      <c r="K24" s="2" t="s">
        <v>15</v>
      </c>
      <c r="L24" s="9">
        <f>SKEW(C2:C100)</f>
        <v>2.8752313957058226</v>
      </c>
      <c r="N24" s="2" t="s">
        <v>15</v>
      </c>
      <c r="O24" s="9">
        <f>SKEW(Exhibit6!C2:C91)</f>
        <v>0.81468637526638576</v>
      </c>
    </row>
    <row r="25" spans="1:15" x14ac:dyDescent="0.2">
      <c r="A25" s="2">
        <v>24</v>
      </c>
      <c r="B25" s="2">
        <v>1.0000000000001563</v>
      </c>
      <c r="C25" s="2">
        <v>1.9999999999999929</v>
      </c>
      <c r="D25" s="3">
        <v>13.99999999999995</v>
      </c>
      <c r="E25" s="2">
        <v>4.9999999999999822</v>
      </c>
      <c r="H25" s="2" t="s">
        <v>16</v>
      </c>
      <c r="I25" s="9">
        <f>KURT(B2:B100)</f>
        <v>4.9300373010076175</v>
      </c>
      <c r="K25" s="2" t="s">
        <v>16</v>
      </c>
      <c r="L25" s="9">
        <f>KURT(C2:C100)</f>
        <v>13.822967514106669</v>
      </c>
      <c r="N25" s="2" t="s">
        <v>16</v>
      </c>
      <c r="O25" s="9">
        <f>KURT(Exhibit6!C2:C91)</f>
        <v>7.2492453333552032E-2</v>
      </c>
    </row>
    <row r="26" spans="1:15" x14ac:dyDescent="0.2">
      <c r="A26" s="2">
        <v>25</v>
      </c>
      <c r="B26" s="2">
        <v>4.9999999999999822</v>
      </c>
      <c r="C26" s="2">
        <v>1.9999999999999929</v>
      </c>
      <c r="D26" s="3">
        <v>17.000000000000021</v>
      </c>
      <c r="E26" s="2">
        <v>2.9999999999999893</v>
      </c>
    </row>
    <row r="27" spans="1:15" x14ac:dyDescent="0.2">
      <c r="A27" s="2">
        <v>26</v>
      </c>
      <c r="B27" s="2">
        <v>4.9999999999999822</v>
      </c>
      <c r="C27" s="2">
        <v>3.9999999999999858</v>
      </c>
      <c r="D27" s="3">
        <v>28.00000000000006</v>
      </c>
      <c r="E27" s="2">
        <v>0.99999999999999645</v>
      </c>
    </row>
    <row r="28" spans="1:15" x14ac:dyDescent="0.2">
      <c r="A28" s="2">
        <v>27</v>
      </c>
      <c r="B28" s="2">
        <v>3.9999999999999858</v>
      </c>
      <c r="C28" s="2">
        <v>2.9999999999999893</v>
      </c>
      <c r="D28" s="3">
        <v>15.000000000000027</v>
      </c>
      <c r="E28" s="2">
        <v>0.99999999999991651</v>
      </c>
    </row>
    <row r="29" spans="1:15" x14ac:dyDescent="0.2">
      <c r="A29" s="2">
        <v>28</v>
      </c>
      <c r="B29" s="2">
        <v>1.9999999999999929</v>
      </c>
      <c r="C29" s="2">
        <v>3.0000000000001492</v>
      </c>
      <c r="D29" s="3">
        <v>17.999999999999936</v>
      </c>
      <c r="E29" s="2">
        <v>1.9999999999999929</v>
      </c>
    </row>
    <row r="30" spans="1:15" x14ac:dyDescent="0.2">
      <c r="A30" s="2">
        <v>29</v>
      </c>
      <c r="B30" s="2">
        <v>1.9999999999999929</v>
      </c>
      <c r="C30" s="2">
        <v>3.0000000000001492</v>
      </c>
      <c r="D30" s="3">
        <v>14.00000000000011</v>
      </c>
      <c r="E30" s="2">
        <v>0.99999999999999645</v>
      </c>
    </row>
    <row r="31" spans="1:15" x14ac:dyDescent="0.2">
      <c r="A31" s="2">
        <v>30</v>
      </c>
      <c r="B31" s="2">
        <v>2.9999999999999893</v>
      </c>
      <c r="C31" s="2">
        <v>2.9999999999999094</v>
      </c>
      <c r="D31" s="3">
        <v>39.000000000000021</v>
      </c>
      <c r="E31" s="2">
        <v>9.9999999999999645</v>
      </c>
    </row>
    <row r="32" spans="1:15" x14ac:dyDescent="0.2">
      <c r="A32" s="2">
        <v>31</v>
      </c>
      <c r="B32" s="2">
        <v>1.9999999999999929</v>
      </c>
      <c r="C32" s="2">
        <v>2.9999999999999893</v>
      </c>
      <c r="D32" s="3">
        <v>17.000000000000021</v>
      </c>
      <c r="E32" s="2">
        <v>5.0000000000000622</v>
      </c>
    </row>
    <row r="33" spans="1:5" x14ac:dyDescent="0.2">
      <c r="A33" s="2">
        <v>32</v>
      </c>
      <c r="B33" s="2">
        <v>5.0000000000000622</v>
      </c>
      <c r="C33" s="2">
        <v>3.0000000000000693</v>
      </c>
      <c r="D33" s="3">
        <v>11.000000000000041</v>
      </c>
      <c r="E33" s="2">
        <v>3.0000000000000693</v>
      </c>
    </row>
    <row r="34" spans="1:5" x14ac:dyDescent="0.2">
      <c r="A34" s="2">
        <v>33</v>
      </c>
      <c r="B34" s="2">
        <v>2.0000000000000728</v>
      </c>
      <c r="C34" s="2">
        <v>5.0000000000000622</v>
      </c>
      <c r="D34" s="3">
        <v>13.000000000000014</v>
      </c>
      <c r="E34" s="2">
        <v>3.9999999999999858</v>
      </c>
    </row>
    <row r="35" spans="1:5" x14ac:dyDescent="0.2">
      <c r="A35" s="2">
        <v>34</v>
      </c>
      <c r="B35" s="2">
        <v>1.9999999999999929</v>
      </c>
      <c r="C35" s="2">
        <v>4.0000000000001457</v>
      </c>
      <c r="D35" s="3">
        <v>20.999999999999925</v>
      </c>
      <c r="E35" s="2">
        <v>3.0000000000001492</v>
      </c>
    </row>
    <row r="36" spans="1:5" x14ac:dyDescent="0.2">
      <c r="A36" s="2">
        <v>35</v>
      </c>
      <c r="B36" s="2">
        <v>5.0000000000000622</v>
      </c>
      <c r="C36" s="2">
        <v>1.9999999999999929</v>
      </c>
      <c r="D36" s="3">
        <v>23</v>
      </c>
      <c r="E36" s="2">
        <v>2.9999999999999893</v>
      </c>
    </row>
    <row r="37" spans="1:5" x14ac:dyDescent="0.2">
      <c r="A37" s="2">
        <v>36</v>
      </c>
      <c r="B37" s="2">
        <v>2.9999999999999094</v>
      </c>
      <c r="C37" s="2">
        <v>1.9999999999999929</v>
      </c>
      <c r="D37" s="3">
        <v>11.000000000000121</v>
      </c>
      <c r="E37" s="2">
        <v>7.9999999999999716</v>
      </c>
    </row>
    <row r="38" spans="1:5" x14ac:dyDescent="0.2">
      <c r="A38" s="2">
        <v>37</v>
      </c>
      <c r="B38" s="2">
        <v>1.9999999999999929</v>
      </c>
      <c r="C38" s="2">
        <v>5.0000000000000622</v>
      </c>
      <c r="D38" s="3">
        <v>12.999999999999954</v>
      </c>
      <c r="E38" s="2">
        <v>6.0000000000001386</v>
      </c>
    </row>
    <row r="39" spans="1:5" x14ac:dyDescent="0.2">
      <c r="A39" s="2">
        <v>38</v>
      </c>
      <c r="B39" s="2">
        <v>4.9999999999999822</v>
      </c>
      <c r="C39" s="2">
        <v>5.0000000000000622</v>
      </c>
      <c r="D39" s="3">
        <v>50.999999999999979</v>
      </c>
      <c r="E39" s="2">
        <v>0.99999999999999645</v>
      </c>
    </row>
    <row r="40" spans="1:5" x14ac:dyDescent="0.2">
      <c r="A40" s="2">
        <v>39</v>
      </c>
      <c r="B40" s="2">
        <v>6.0000000000000586</v>
      </c>
      <c r="C40" s="2">
        <v>13.99999999999995</v>
      </c>
      <c r="D40" s="3">
        <v>25.999999999999908</v>
      </c>
      <c r="E40" s="2">
        <v>1.0000000000001563</v>
      </c>
    </row>
    <row r="41" spans="1:5" x14ac:dyDescent="0.2">
      <c r="A41" s="2">
        <v>40</v>
      </c>
      <c r="B41" s="2">
        <v>6.0000000000000586</v>
      </c>
      <c r="C41" s="2">
        <v>2.9999999999998295</v>
      </c>
      <c r="D41" s="3">
        <v>32.000000000000043</v>
      </c>
      <c r="E41" s="2">
        <v>1.9999999999999929</v>
      </c>
    </row>
    <row r="42" spans="1:5" x14ac:dyDescent="0.2">
      <c r="A42" s="2">
        <v>41</v>
      </c>
      <c r="B42" s="2">
        <v>7.000000000000135</v>
      </c>
      <c r="C42" s="2">
        <v>1.9999999999999929</v>
      </c>
      <c r="D42" s="3">
        <v>6.0000000000000586</v>
      </c>
      <c r="E42" s="2">
        <v>7.000000000000135</v>
      </c>
    </row>
    <row r="43" spans="1:5" x14ac:dyDescent="0.2">
      <c r="A43" s="2">
        <v>42</v>
      </c>
      <c r="B43" s="2">
        <v>17.000000000000099</v>
      </c>
      <c r="C43" s="2">
        <v>5.0000000000000622</v>
      </c>
      <c r="D43" s="3">
        <v>13.99999999999995</v>
      </c>
      <c r="E43" s="2">
        <v>12.999999999999954</v>
      </c>
    </row>
    <row r="44" spans="1:5" x14ac:dyDescent="0.2">
      <c r="A44" s="2">
        <v>43</v>
      </c>
      <c r="B44" s="2">
        <v>3.0000000000000693</v>
      </c>
      <c r="C44" s="2">
        <v>4.9999999999999822</v>
      </c>
      <c r="D44" s="3">
        <v>60.000000000000028</v>
      </c>
      <c r="E44" s="2">
        <v>4.9999999999999822</v>
      </c>
    </row>
    <row r="45" spans="1:5" x14ac:dyDescent="0.2">
      <c r="A45" s="2">
        <v>44</v>
      </c>
      <c r="B45" s="2">
        <v>5.9999999999999787</v>
      </c>
      <c r="C45" s="2">
        <v>2.9999999999999893</v>
      </c>
      <c r="D45" s="3">
        <v>26.999999999999986</v>
      </c>
      <c r="E45" s="2">
        <v>19.000000000000092</v>
      </c>
    </row>
    <row r="46" spans="1:5" x14ac:dyDescent="0.2">
      <c r="A46" s="2">
        <v>45</v>
      </c>
      <c r="B46" s="2">
        <v>4.9999999999998224</v>
      </c>
      <c r="C46" s="2">
        <v>2.9999999999999893</v>
      </c>
      <c r="D46" s="3">
        <v>41.000000000000014</v>
      </c>
      <c r="E46" s="2">
        <v>4.9999999999999822</v>
      </c>
    </row>
    <row r="47" spans="1:5" x14ac:dyDescent="0.2">
      <c r="A47" s="2">
        <v>46</v>
      </c>
      <c r="B47" s="2">
        <v>2.9999999999998295</v>
      </c>
      <c r="C47" s="2">
        <v>3.9999999999999858</v>
      </c>
      <c r="D47" s="3">
        <v>43.000000000000007</v>
      </c>
      <c r="E47" s="2">
        <v>7.9999999999999716</v>
      </c>
    </row>
    <row r="48" spans="1:5" x14ac:dyDescent="0.2">
      <c r="A48" s="2">
        <v>47</v>
      </c>
      <c r="B48" s="2">
        <v>2.9999999999999893</v>
      </c>
      <c r="C48" s="2">
        <v>3.9999999999999858</v>
      </c>
      <c r="D48" s="3">
        <v>68.000000000000085</v>
      </c>
      <c r="E48" s="2">
        <v>4.9999999999999822</v>
      </c>
    </row>
    <row r="49" spans="1:6" x14ac:dyDescent="0.2">
      <c r="A49" s="2">
        <v>48</v>
      </c>
      <c r="B49" s="2">
        <v>2.9999999999999893</v>
      </c>
      <c r="C49" s="2">
        <v>5.9999999999999787</v>
      </c>
      <c r="D49" s="3">
        <v>13.000000000000034</v>
      </c>
      <c r="E49" s="2">
        <v>5.0000000000000622</v>
      </c>
    </row>
    <row r="50" spans="1:6" x14ac:dyDescent="0.2">
      <c r="A50" s="2">
        <v>49</v>
      </c>
      <c r="B50" s="2">
        <v>6.9999999999999751</v>
      </c>
      <c r="C50" s="2">
        <v>1.9999999999999929</v>
      </c>
      <c r="D50" s="3">
        <v>20.000000000000007</v>
      </c>
      <c r="E50" s="2">
        <v>4.9999999999999822</v>
      </c>
    </row>
    <row r="51" spans="1:6" x14ac:dyDescent="0.2">
      <c r="A51" s="2">
        <v>50</v>
      </c>
      <c r="B51" s="2">
        <v>9.9999999999999645</v>
      </c>
      <c r="C51" s="2">
        <v>4.9999999999999023</v>
      </c>
      <c r="D51" s="3">
        <v>22</v>
      </c>
      <c r="E51" s="2">
        <v>1.0000000000000764</v>
      </c>
    </row>
    <row r="52" spans="1:6" x14ac:dyDescent="0.2">
      <c r="A52" s="2">
        <v>51</v>
      </c>
      <c r="B52" s="2">
        <v>9.000000000000048</v>
      </c>
      <c r="C52" s="2">
        <v>3.9999999999999858</v>
      </c>
      <c r="D52" s="3">
        <v>22.999999999999918</v>
      </c>
      <c r="E52" s="2">
        <v>2.9999999999999893</v>
      </c>
    </row>
    <row r="53" spans="1:6" x14ac:dyDescent="0.2">
      <c r="A53" s="2">
        <v>52</v>
      </c>
      <c r="B53" s="2">
        <v>5.0000000000000622</v>
      </c>
      <c r="C53" s="2">
        <v>3.9999999999999858</v>
      </c>
      <c r="D53" s="3">
        <v>57.999999999999957</v>
      </c>
      <c r="E53" s="2">
        <v>11.999999999999957</v>
      </c>
    </row>
    <row r="54" spans="1:6" x14ac:dyDescent="0.2">
      <c r="A54" s="2">
        <v>53</v>
      </c>
      <c r="B54" s="2">
        <v>1.9999999999999929</v>
      </c>
      <c r="C54" s="2">
        <v>5.0000000000000622</v>
      </c>
      <c r="D54" s="3">
        <v>20.999999999999925</v>
      </c>
      <c r="E54" s="2">
        <v>0.99999999999983658</v>
      </c>
    </row>
    <row r="55" spans="1:6" x14ac:dyDescent="0.2">
      <c r="A55" s="2">
        <v>54</v>
      </c>
      <c r="B55" s="2">
        <v>3.9999999999999858</v>
      </c>
      <c r="C55" s="2">
        <v>3.9999999999999858</v>
      </c>
      <c r="D55" s="3">
        <v>46.999999999999993</v>
      </c>
      <c r="E55" s="2">
        <v>3.0000000000000693</v>
      </c>
    </row>
    <row r="56" spans="1:6" x14ac:dyDescent="0.2">
      <c r="A56" s="2">
        <v>55</v>
      </c>
      <c r="B56" s="2">
        <v>5.9999999999999787</v>
      </c>
      <c r="C56" s="2">
        <v>3.9999999999999858</v>
      </c>
      <c r="D56" s="3">
        <v>28.999999999999979</v>
      </c>
      <c r="E56" s="2">
        <v>1.9999999999999929</v>
      </c>
    </row>
    <row r="57" spans="1:6" x14ac:dyDescent="0.2">
      <c r="A57" s="2">
        <v>56</v>
      </c>
      <c r="B57" s="2">
        <v>2.9999999999999094</v>
      </c>
      <c r="C57" s="2">
        <v>4.0000000000000657</v>
      </c>
      <c r="D57" s="3">
        <v>24.999999999999911</v>
      </c>
      <c r="E57" s="2">
        <v>3.9999999999999858</v>
      </c>
    </row>
    <row r="58" spans="1:6" x14ac:dyDescent="0.2">
      <c r="A58" s="2">
        <v>57</v>
      </c>
      <c r="B58" s="2">
        <v>1.9999999999999929</v>
      </c>
      <c r="C58" s="2">
        <v>2.9999999999999893</v>
      </c>
      <c r="D58" s="3">
        <v>18.999999999999932</v>
      </c>
      <c r="E58" s="2">
        <v>3.9999999999999858</v>
      </c>
    </row>
    <row r="59" spans="1:6" x14ac:dyDescent="0.2">
      <c r="A59" s="2">
        <v>58</v>
      </c>
      <c r="B59" s="2">
        <v>1.9999999999999929</v>
      </c>
      <c r="C59" s="2">
        <v>1.9999999999999929</v>
      </c>
      <c r="D59" s="3">
        <v>12.999999999999954</v>
      </c>
      <c r="E59" s="2">
        <v>9.9999999999999645</v>
      </c>
    </row>
    <row r="60" spans="1:6" x14ac:dyDescent="0.2">
      <c r="A60" s="2">
        <v>59</v>
      </c>
      <c r="B60" s="2">
        <v>7.9999999999999716</v>
      </c>
      <c r="C60" s="2">
        <v>2.9999999999999893</v>
      </c>
      <c r="D60" s="3">
        <v>16.000000000000103</v>
      </c>
      <c r="E60" s="2">
        <v>4.0000000000000657</v>
      </c>
    </row>
    <row r="61" spans="1:6" x14ac:dyDescent="0.2">
      <c r="A61" s="2">
        <v>60</v>
      </c>
      <c r="B61" s="2">
        <v>5.0000000000000622</v>
      </c>
      <c r="C61" s="2">
        <v>2.9999999999999893</v>
      </c>
      <c r="D61" s="3">
        <v>17.000000000000021</v>
      </c>
      <c r="E61" s="2">
        <v>0.99999999999991651</v>
      </c>
    </row>
    <row r="62" spans="1:6" x14ac:dyDescent="0.2">
      <c r="A62" s="2">
        <v>61</v>
      </c>
      <c r="B62" s="2">
        <v>1.9999999999999929</v>
      </c>
      <c r="C62" s="2">
        <v>6.0000000000000586</v>
      </c>
      <c r="D62" s="3">
        <v>14.00000000000003</v>
      </c>
      <c r="E62" s="2">
        <v>3.9999999999999858</v>
      </c>
      <c r="F62" s="2"/>
    </row>
    <row r="63" spans="1:6" x14ac:dyDescent="0.2">
      <c r="A63" s="2">
        <v>62</v>
      </c>
      <c r="B63" s="2">
        <v>4.9999999999999822</v>
      </c>
      <c r="C63" s="2">
        <v>1.9999999999999929</v>
      </c>
      <c r="D63" s="3">
        <v>17.000000000000021</v>
      </c>
      <c r="E63" s="2">
        <v>11.999999999999957</v>
      </c>
      <c r="F63" s="2"/>
    </row>
    <row r="64" spans="1:6" x14ac:dyDescent="0.2">
      <c r="A64" s="2">
        <v>63</v>
      </c>
      <c r="B64" s="2">
        <v>5.0000000000000622</v>
      </c>
      <c r="C64" s="2">
        <v>3.9999999999999858</v>
      </c>
      <c r="D64" s="3">
        <v>76.000000000000057</v>
      </c>
      <c r="E64" s="2">
        <v>6.9999999999999751</v>
      </c>
      <c r="F64" s="2"/>
    </row>
    <row r="65" spans="1:6" x14ac:dyDescent="0.2">
      <c r="A65" s="2">
        <v>64</v>
      </c>
      <c r="B65" s="2">
        <v>2.9999999999999094</v>
      </c>
      <c r="C65" s="2">
        <v>5.0000000000000622</v>
      </c>
      <c r="D65" s="3">
        <v>22.000000000000082</v>
      </c>
      <c r="E65" s="2">
        <v>7.9999999999999716</v>
      </c>
      <c r="F65" s="2"/>
    </row>
    <row r="66" spans="1:6" x14ac:dyDescent="0.2">
      <c r="A66" s="2">
        <v>65</v>
      </c>
      <c r="B66" s="2">
        <v>4.0000000000000657</v>
      </c>
      <c r="C66" s="2">
        <v>3.0000000000000693</v>
      </c>
      <c r="D66" s="3">
        <v>21.000000000000085</v>
      </c>
      <c r="E66" s="2">
        <v>6.9999999999998952</v>
      </c>
      <c r="F66" s="2"/>
    </row>
    <row r="67" spans="1:6" x14ac:dyDescent="0.2">
      <c r="A67" s="2">
        <v>66</v>
      </c>
      <c r="B67" s="2">
        <v>0.99999999999999645</v>
      </c>
      <c r="C67" s="2">
        <v>4.0000000000001457</v>
      </c>
      <c r="D67" s="3">
        <v>9.9999999999999645</v>
      </c>
      <c r="E67" s="2">
        <v>1.9999999999999929</v>
      </c>
      <c r="F67" s="2"/>
    </row>
    <row r="68" spans="1:6" x14ac:dyDescent="0.2">
      <c r="A68" s="2">
        <v>67</v>
      </c>
      <c r="B68" s="2">
        <v>4.9999999999999822</v>
      </c>
      <c r="C68" s="2">
        <v>1.9999999999999929</v>
      </c>
      <c r="D68" s="3">
        <v>7.9999999999999716</v>
      </c>
      <c r="E68" s="2">
        <v>5.9999999999999787</v>
      </c>
      <c r="F68" s="2"/>
    </row>
    <row r="69" spans="1:6" x14ac:dyDescent="0.2">
      <c r="A69" s="2">
        <v>68</v>
      </c>
      <c r="B69" s="2">
        <v>3.9999999999999858</v>
      </c>
      <c r="C69" s="2">
        <v>3.9999999999999858</v>
      </c>
      <c r="D69" s="3">
        <v>26.999999999999986</v>
      </c>
      <c r="E69" s="2">
        <v>7.000000000000135</v>
      </c>
      <c r="F69" s="2"/>
    </row>
    <row r="70" spans="1:6" x14ac:dyDescent="0.2">
      <c r="A70" s="2">
        <v>69</v>
      </c>
      <c r="B70" s="2">
        <v>3.9999999999999858</v>
      </c>
      <c r="C70" s="2">
        <v>3.9999999999999858</v>
      </c>
      <c r="D70" s="3">
        <v>11.000000000000041</v>
      </c>
      <c r="E70" s="2">
        <v>7.9999999999999716</v>
      </c>
      <c r="F70" s="2"/>
    </row>
    <row r="71" spans="1:6" x14ac:dyDescent="0.2">
      <c r="A71" s="2">
        <v>70</v>
      </c>
      <c r="B71" s="2">
        <v>3.0000000000000693</v>
      </c>
      <c r="C71" s="2">
        <v>2.0000000000001528</v>
      </c>
      <c r="D71" s="3">
        <v>20.000000000000089</v>
      </c>
      <c r="E71" s="2">
        <v>4.9999999999999822</v>
      </c>
      <c r="F71" s="2"/>
    </row>
    <row r="72" spans="1:6" x14ac:dyDescent="0.2">
      <c r="A72" s="2">
        <v>71</v>
      </c>
      <c r="B72" s="2">
        <v>3.0000000000000693</v>
      </c>
      <c r="C72" s="2">
        <v>1.9999999999999929</v>
      </c>
      <c r="D72" s="3">
        <v>46.000000000000156</v>
      </c>
      <c r="E72" s="2">
        <v>2.9999999999999893</v>
      </c>
      <c r="F72" s="2"/>
    </row>
    <row r="73" spans="1:6" x14ac:dyDescent="0.2">
      <c r="A73" s="2">
        <v>72</v>
      </c>
      <c r="B73" s="2">
        <v>4.9999999999999822</v>
      </c>
      <c r="C73" s="2">
        <v>2.9999999999999893</v>
      </c>
      <c r="D73" s="3">
        <v>13.99999999999995</v>
      </c>
      <c r="E73" s="2">
        <v>3.9999999999999858</v>
      </c>
      <c r="F73" s="2"/>
    </row>
    <row r="74" spans="1:6" x14ac:dyDescent="0.2">
      <c r="A74" s="2">
        <v>73</v>
      </c>
      <c r="B74" s="2">
        <v>4.9999999999999822</v>
      </c>
      <c r="C74" s="2">
        <v>7.000000000000135</v>
      </c>
      <c r="D74" s="3">
        <v>14.00000000000003</v>
      </c>
      <c r="E74" s="2">
        <v>3.0000000000000693</v>
      </c>
      <c r="F74" s="2"/>
    </row>
    <row r="75" spans="1:6" x14ac:dyDescent="0.2">
      <c r="A75" s="2">
        <v>74</v>
      </c>
      <c r="B75" s="2">
        <v>3.0000000000000693</v>
      </c>
      <c r="C75" s="2">
        <v>2.9999999999999893</v>
      </c>
      <c r="D75" s="3">
        <v>11.999999999999957</v>
      </c>
      <c r="E75" s="2">
        <v>1.9999999999999929</v>
      </c>
      <c r="F75" s="2"/>
    </row>
    <row r="76" spans="1:6" x14ac:dyDescent="0.2">
      <c r="A76" s="2">
        <v>75</v>
      </c>
      <c r="B76" s="2">
        <v>3.9999999999999858</v>
      </c>
      <c r="C76" s="2">
        <v>2.9999999999999893</v>
      </c>
      <c r="D76" s="3">
        <v>16.000000000000103</v>
      </c>
      <c r="E76" s="2">
        <v>1.9999999999999929</v>
      </c>
      <c r="F76" s="2"/>
    </row>
    <row r="77" spans="1:6" x14ac:dyDescent="0.2">
      <c r="A77" s="2">
        <v>76</v>
      </c>
      <c r="B77" s="2">
        <v>2.9999999999999893</v>
      </c>
      <c r="C77" s="2">
        <v>2.9999999999999893</v>
      </c>
      <c r="D77" s="3">
        <v>27.999999999999979</v>
      </c>
      <c r="E77" s="2">
        <v>7.0000000000000551</v>
      </c>
      <c r="F77" s="2"/>
    </row>
    <row r="78" spans="1:6" x14ac:dyDescent="0.2">
      <c r="A78" s="2">
        <v>77</v>
      </c>
      <c r="B78" s="2">
        <v>4.9999999999999822</v>
      </c>
      <c r="C78" s="2">
        <v>2.9999999999999893</v>
      </c>
      <c r="D78" s="3">
        <v>15.000000000000027</v>
      </c>
      <c r="E78" s="2">
        <v>2.9999999999999094</v>
      </c>
      <c r="F78" s="2"/>
    </row>
    <row r="79" spans="1:6" x14ac:dyDescent="0.2">
      <c r="A79" s="2">
        <v>78</v>
      </c>
      <c r="B79" s="2">
        <v>0.99999999999999645</v>
      </c>
      <c r="C79" s="2">
        <v>3.0000000000001492</v>
      </c>
      <c r="D79" s="3">
        <v>8.9999999999998881</v>
      </c>
      <c r="E79" s="2">
        <v>3.0000000000001492</v>
      </c>
      <c r="F79" s="2"/>
    </row>
    <row r="80" spans="1:6" x14ac:dyDescent="0.2">
      <c r="A80" s="2">
        <v>79</v>
      </c>
      <c r="B80" s="2">
        <v>4.9999999999999023</v>
      </c>
      <c r="C80" s="2">
        <v>2.9999999999999893</v>
      </c>
      <c r="D80" s="3">
        <v>16.000000000000103</v>
      </c>
      <c r="E80" s="2">
        <v>1.9999999999999929</v>
      </c>
      <c r="F80" s="2"/>
    </row>
    <row r="81" spans="1:6" x14ac:dyDescent="0.2">
      <c r="A81" s="2">
        <v>80</v>
      </c>
      <c r="B81" s="2">
        <v>1.9999999999999929</v>
      </c>
      <c r="C81" s="2">
        <v>3.9999999999999858</v>
      </c>
      <c r="D81" s="3">
        <v>18.000000000000096</v>
      </c>
      <c r="E81" s="2">
        <v>4.9999999999999023</v>
      </c>
      <c r="F81" s="2"/>
    </row>
    <row r="82" spans="1:6" x14ac:dyDescent="0.2">
      <c r="A82" s="2">
        <v>81</v>
      </c>
      <c r="B82" s="2">
        <v>13.000000000000034</v>
      </c>
      <c r="C82" s="2">
        <v>1.9999999999999929</v>
      </c>
      <c r="D82" s="3">
        <v>18.000000000000096</v>
      </c>
      <c r="E82" s="2">
        <v>3.9999999999999858</v>
      </c>
      <c r="F82" s="2"/>
    </row>
    <row r="83" spans="1:6" x14ac:dyDescent="0.2">
      <c r="A83" s="2">
        <v>82</v>
      </c>
      <c r="B83" s="2">
        <v>3.0000000000000693</v>
      </c>
      <c r="C83" s="2">
        <v>2.9999999999999893</v>
      </c>
      <c r="D83" s="3">
        <v>36.000000000000028</v>
      </c>
      <c r="E83" s="2">
        <v>0.99999999999983658</v>
      </c>
      <c r="F83" s="2"/>
    </row>
    <row r="84" spans="1:6" x14ac:dyDescent="0.2">
      <c r="A84" s="2">
        <v>83</v>
      </c>
      <c r="B84" s="2">
        <v>3.9999999999999858</v>
      </c>
      <c r="C84" s="2">
        <v>2.9999999999999893</v>
      </c>
      <c r="D84" s="3">
        <v>12.000000000000117</v>
      </c>
      <c r="E84" s="2">
        <v>3.9999999999999858</v>
      </c>
      <c r="F84" s="2"/>
    </row>
    <row r="85" spans="1:6" x14ac:dyDescent="0.2">
      <c r="A85" s="2">
        <v>84</v>
      </c>
      <c r="B85" s="2">
        <v>1.9999999999999929</v>
      </c>
      <c r="C85" s="2">
        <v>6.0000000000000586</v>
      </c>
      <c r="D85" s="3">
        <v>20.999999999999766</v>
      </c>
      <c r="E85" s="2">
        <v>3.0000000000000693</v>
      </c>
      <c r="F85" s="2"/>
    </row>
    <row r="86" spans="1:6" x14ac:dyDescent="0.2">
      <c r="A86" s="2">
        <v>85</v>
      </c>
      <c r="B86" s="2">
        <v>4.9999999999999822</v>
      </c>
      <c r="C86" s="2">
        <v>1.9999999999999929</v>
      </c>
      <c r="D86" s="3">
        <v>24.999999999999911</v>
      </c>
      <c r="E86" s="2">
        <v>2.9999999999999893</v>
      </c>
      <c r="F86" s="2"/>
    </row>
    <row r="87" spans="1:6" x14ac:dyDescent="0.2">
      <c r="A87" s="2">
        <v>86</v>
      </c>
      <c r="B87" s="2">
        <v>7.9999999999999716</v>
      </c>
      <c r="C87" s="2">
        <v>1.9999999999999929</v>
      </c>
      <c r="D87" s="3">
        <v>31.999999999999886</v>
      </c>
      <c r="E87" s="2">
        <v>15.000000000000027</v>
      </c>
      <c r="F87" s="2"/>
    </row>
    <row r="88" spans="1:6" x14ac:dyDescent="0.2">
      <c r="A88" s="2">
        <v>87</v>
      </c>
      <c r="B88" s="2">
        <v>7.9999999999999716</v>
      </c>
      <c r="C88" s="2">
        <v>2.9999999999999893</v>
      </c>
      <c r="D88" s="3">
        <v>9.9999999999999645</v>
      </c>
      <c r="E88" s="2">
        <v>8.0000000000000515</v>
      </c>
      <c r="F88" s="2"/>
    </row>
    <row r="89" spans="1:6" x14ac:dyDescent="0.2">
      <c r="A89" s="2">
        <v>88</v>
      </c>
      <c r="B89" s="2">
        <v>1.9999999999999929</v>
      </c>
      <c r="C89" s="2">
        <v>2.9999999999999893</v>
      </c>
      <c r="D89" s="3">
        <v>19.000000000000092</v>
      </c>
      <c r="E89" s="2">
        <v>3.9999999999999858</v>
      </c>
      <c r="F89" s="2"/>
    </row>
    <row r="90" spans="1:6" x14ac:dyDescent="0.2">
      <c r="A90" s="2">
        <v>89</v>
      </c>
      <c r="B90" s="2">
        <v>1.9999999999999929</v>
      </c>
      <c r="C90" s="2">
        <v>1.9999999999999929</v>
      </c>
      <c r="D90" s="3">
        <v>19.000000000000014</v>
      </c>
      <c r="E90" s="2">
        <v>9.000000000000048</v>
      </c>
      <c r="F90" s="2"/>
    </row>
    <row r="91" spans="1:6" x14ac:dyDescent="0.2">
      <c r="A91" s="2">
        <v>90</v>
      </c>
      <c r="B91" s="2">
        <v>5.9999999999999787</v>
      </c>
      <c r="C91" s="2">
        <v>7.0000000000000551</v>
      </c>
      <c r="D91" s="3">
        <v>7.0000000000000551</v>
      </c>
      <c r="E91" s="2">
        <v>0.99999999999999645</v>
      </c>
      <c r="F91" s="2"/>
    </row>
    <row r="92" spans="1:6" x14ac:dyDescent="0.2">
      <c r="A92" s="2">
        <v>91</v>
      </c>
      <c r="B92" s="2">
        <v>3.9999999999999858</v>
      </c>
      <c r="C92" s="2">
        <v>3.9999999999999858</v>
      </c>
      <c r="D92" s="3">
        <v>5.0000000000000622</v>
      </c>
      <c r="E92" s="2">
        <v>2.9999999999998295</v>
      </c>
      <c r="F92" s="2"/>
    </row>
    <row r="93" spans="1:6" x14ac:dyDescent="0.2">
      <c r="A93" s="2">
        <v>92</v>
      </c>
      <c r="B93" s="2">
        <v>2.9999999999999893</v>
      </c>
      <c r="C93" s="2">
        <v>3.0000000000001492</v>
      </c>
      <c r="D93" s="3">
        <v>11.999999999999957</v>
      </c>
      <c r="E93" s="2">
        <v>5.0000000000001421</v>
      </c>
      <c r="F93" s="2"/>
    </row>
    <row r="94" spans="1:6" x14ac:dyDescent="0.2">
      <c r="A94" s="2">
        <v>93</v>
      </c>
      <c r="B94" s="2">
        <v>1.0000000000000764</v>
      </c>
      <c r="C94" s="2">
        <v>9.9999999999999645</v>
      </c>
      <c r="D94" s="3">
        <v>9.000000000000048</v>
      </c>
      <c r="E94" s="2">
        <v>6.0000000000000586</v>
      </c>
      <c r="F94" s="2"/>
    </row>
    <row r="95" spans="1:6" x14ac:dyDescent="0.2">
      <c r="A95" s="2">
        <v>94</v>
      </c>
      <c r="B95" s="2">
        <v>4.9999999999999822</v>
      </c>
      <c r="C95" s="2">
        <v>0.99999999999999645</v>
      </c>
      <c r="D95" s="3">
        <v>8.999999999999968</v>
      </c>
      <c r="E95" s="2">
        <v>5.0000000000000622</v>
      </c>
      <c r="F95" s="2"/>
    </row>
    <row r="96" spans="1:6" x14ac:dyDescent="0.2">
      <c r="A96" s="2">
        <v>95</v>
      </c>
      <c r="B96" s="2">
        <v>0.99999999999999645</v>
      </c>
      <c r="C96" s="2">
        <v>2.9999999999999094</v>
      </c>
      <c r="D96" s="3">
        <v>33.999999999999957</v>
      </c>
      <c r="E96" s="2">
        <v>4.9999999999999023</v>
      </c>
      <c r="F96" s="2"/>
    </row>
    <row r="97" spans="1:6" x14ac:dyDescent="0.2">
      <c r="A97" s="2">
        <v>96</v>
      </c>
      <c r="B97" s="2">
        <v>1.9999999999999929</v>
      </c>
      <c r="C97" s="2">
        <v>2.9999999999999893</v>
      </c>
      <c r="D97" s="3">
        <v>15.999999999999943</v>
      </c>
      <c r="E97" s="2">
        <v>5.9999999999999787</v>
      </c>
      <c r="F97" s="2"/>
    </row>
    <row r="98" spans="1:6" x14ac:dyDescent="0.2">
      <c r="A98" s="2">
        <v>97</v>
      </c>
      <c r="B98" s="2">
        <v>3.9999999999999858</v>
      </c>
      <c r="C98" s="2">
        <v>2.9999999999999893</v>
      </c>
      <c r="D98" s="3">
        <v>6.9999999999998153</v>
      </c>
      <c r="E98" s="2">
        <v>3.9999999999999858</v>
      </c>
      <c r="F98" s="2"/>
    </row>
    <row r="99" spans="1:6" x14ac:dyDescent="0.2">
      <c r="A99" s="2">
        <v>98</v>
      </c>
      <c r="B99" s="2">
        <v>5.9999999999999787</v>
      </c>
      <c r="C99" s="2">
        <v>2.9999999999999893</v>
      </c>
      <c r="D99" s="3">
        <v>20.999999999999925</v>
      </c>
      <c r="E99" s="2">
        <v>5.9999999999999787</v>
      </c>
      <c r="F99" s="2"/>
    </row>
    <row r="100" spans="1:6" x14ac:dyDescent="0.2">
      <c r="A100" s="2">
        <v>99</v>
      </c>
      <c r="B100" s="2">
        <v>2.9999999999999893</v>
      </c>
      <c r="C100" s="2">
        <v>4.9999999999999822</v>
      </c>
      <c r="F100" s="2"/>
    </row>
  </sheetData>
  <mergeCells count="2">
    <mergeCell ref="H21:I21"/>
    <mergeCell ref="K21:L21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topLeftCell="A34" workbookViewId="0">
      <selection activeCell="E24" sqref="E24"/>
    </sheetView>
  </sheetViews>
  <sheetFormatPr baseColWidth="10" defaultColWidth="8.83203125" defaultRowHeight="16" x14ac:dyDescent="0.2"/>
  <cols>
    <col min="1" max="1" width="8.83203125" style="2"/>
    <col min="2" max="4" width="17.83203125" style="2" customWidth="1"/>
    <col min="5" max="16384" width="8.83203125" style="2"/>
  </cols>
  <sheetData>
    <row r="1" spans="2:4" s="1" customFormat="1" ht="65" customHeight="1" x14ac:dyDescent="0.2">
      <c r="B1" s="6" t="s">
        <v>0</v>
      </c>
      <c r="C1" s="6" t="s">
        <v>5</v>
      </c>
      <c r="D1" s="6" t="s">
        <v>6</v>
      </c>
    </row>
    <row r="2" spans="2:4" x14ac:dyDescent="0.2">
      <c r="B2" s="2">
        <v>1</v>
      </c>
      <c r="C2" s="2">
        <v>11.999999999999957</v>
      </c>
      <c r="D2" s="2">
        <v>15.000000000000027</v>
      </c>
    </row>
    <row r="3" spans="2:4" x14ac:dyDescent="0.2">
      <c r="B3" s="2">
        <v>2</v>
      </c>
      <c r="C3" s="2">
        <v>26.999999999999986</v>
      </c>
      <c r="D3" s="2">
        <v>14.00000000000003</v>
      </c>
    </row>
    <row r="4" spans="2:4" x14ac:dyDescent="0.2">
      <c r="B4" s="2">
        <v>3</v>
      </c>
      <c r="C4" s="2">
        <v>15.999999999999943</v>
      </c>
      <c r="D4" s="2">
        <v>14.999999999999947</v>
      </c>
    </row>
    <row r="5" spans="2:4" x14ac:dyDescent="0.2">
      <c r="B5" s="2">
        <v>4</v>
      </c>
      <c r="C5" s="2">
        <v>14.999999999999947</v>
      </c>
      <c r="D5" s="2">
        <v>30.000000000000053</v>
      </c>
    </row>
    <row r="6" spans="2:4" x14ac:dyDescent="0.2">
      <c r="B6" s="2">
        <v>5</v>
      </c>
      <c r="C6" s="2">
        <v>18.000000000000096</v>
      </c>
      <c r="D6" s="2">
        <v>15.999999999999943</v>
      </c>
    </row>
    <row r="7" spans="2:4" x14ac:dyDescent="0.2">
      <c r="B7" s="2">
        <v>6</v>
      </c>
      <c r="C7" s="2">
        <v>28.999999999999897</v>
      </c>
      <c r="D7" s="2">
        <v>29.999999999999893</v>
      </c>
    </row>
    <row r="8" spans="2:4" x14ac:dyDescent="0.2">
      <c r="B8" s="2">
        <v>7</v>
      </c>
      <c r="C8" s="2">
        <v>29.000000000000135</v>
      </c>
      <c r="D8" s="2">
        <v>23.999999999999993</v>
      </c>
    </row>
    <row r="9" spans="2:4" x14ac:dyDescent="0.2">
      <c r="B9" s="2">
        <v>8</v>
      </c>
      <c r="C9" s="2">
        <v>20.000000000000089</v>
      </c>
      <c r="D9" s="2">
        <v>14.00000000000011</v>
      </c>
    </row>
    <row r="10" spans="2:4" x14ac:dyDescent="0.2">
      <c r="B10" s="2">
        <v>9</v>
      </c>
      <c r="C10" s="2">
        <v>33.000000000000043</v>
      </c>
      <c r="D10" s="2">
        <v>13.99999999999995</v>
      </c>
    </row>
    <row r="11" spans="2:4" x14ac:dyDescent="0.2">
      <c r="B11" s="2">
        <v>10</v>
      </c>
      <c r="C11" s="2">
        <v>30.000000000000053</v>
      </c>
      <c r="D11" s="2">
        <v>13.99999999999995</v>
      </c>
    </row>
    <row r="12" spans="2:4" x14ac:dyDescent="0.2">
      <c r="B12" s="2">
        <v>11</v>
      </c>
      <c r="C12" s="2">
        <v>28.999999999999897</v>
      </c>
      <c r="D12" s="2">
        <v>3.9999999999999858</v>
      </c>
    </row>
    <row r="13" spans="2:4" x14ac:dyDescent="0.2">
      <c r="B13" s="2">
        <v>12</v>
      </c>
      <c r="C13" s="2">
        <v>34.999999999999872</v>
      </c>
      <c r="D13" s="2">
        <v>14.00000000000011</v>
      </c>
    </row>
    <row r="14" spans="2:4" x14ac:dyDescent="0.2">
      <c r="B14" s="2">
        <v>13</v>
      </c>
      <c r="C14" s="2">
        <v>15.000000000000107</v>
      </c>
      <c r="D14" s="2">
        <v>10.999999999999961</v>
      </c>
    </row>
    <row r="15" spans="2:4" x14ac:dyDescent="0.2">
      <c r="B15" s="2">
        <v>14</v>
      </c>
      <c r="C15" s="2">
        <v>32.999999999999886</v>
      </c>
      <c r="D15" s="2">
        <v>16.99999999999994</v>
      </c>
    </row>
    <row r="16" spans="2:4" x14ac:dyDescent="0.2">
      <c r="B16" s="2">
        <v>15</v>
      </c>
      <c r="C16" s="2">
        <v>39.000000000000021</v>
      </c>
      <c r="D16" s="2">
        <v>26.000000000000068</v>
      </c>
    </row>
    <row r="17" spans="2:4" x14ac:dyDescent="0.2">
      <c r="B17" s="2">
        <v>16</v>
      </c>
      <c r="C17" s="2">
        <v>22.999999999999918</v>
      </c>
      <c r="D17" s="2">
        <v>22.000000000000082</v>
      </c>
    </row>
    <row r="18" spans="2:4" x14ac:dyDescent="0.2">
      <c r="B18" s="2">
        <v>17</v>
      </c>
      <c r="C18" s="2">
        <v>10.000000000000044</v>
      </c>
      <c r="D18" s="2">
        <v>15.000000000000107</v>
      </c>
    </row>
    <row r="19" spans="2:4" x14ac:dyDescent="0.2">
      <c r="B19" s="2">
        <v>18</v>
      </c>
      <c r="C19" s="2">
        <v>35.000000000000036</v>
      </c>
      <c r="D19" s="2">
        <v>9.9999999999999645</v>
      </c>
    </row>
    <row r="20" spans="2:4" x14ac:dyDescent="0.2">
      <c r="B20" s="2">
        <v>19</v>
      </c>
      <c r="C20" s="2">
        <v>29.999999999999972</v>
      </c>
      <c r="D20" s="2">
        <v>29.999999999999893</v>
      </c>
    </row>
    <row r="21" spans="2:4" x14ac:dyDescent="0.2">
      <c r="B21" s="2">
        <v>20</v>
      </c>
      <c r="C21" s="2">
        <v>20.000000000000007</v>
      </c>
      <c r="D21" s="2">
        <v>31.00000000000005</v>
      </c>
    </row>
    <row r="22" spans="2:4" x14ac:dyDescent="0.2">
      <c r="B22" s="2">
        <v>21</v>
      </c>
      <c r="C22" s="2">
        <v>30.000000000000053</v>
      </c>
      <c r="D22" s="2">
        <v>19.999999999999929</v>
      </c>
    </row>
    <row r="23" spans="2:4" x14ac:dyDescent="0.2">
      <c r="B23" s="2">
        <v>22</v>
      </c>
      <c r="C23" s="2">
        <v>19.999999999999929</v>
      </c>
      <c r="D23" s="2">
        <v>11.000000000000041</v>
      </c>
    </row>
    <row r="24" spans="2:4" x14ac:dyDescent="0.2">
      <c r="B24" s="2">
        <v>23</v>
      </c>
      <c r="C24" s="2">
        <v>55.000000000000128</v>
      </c>
      <c r="D24" s="2">
        <v>11.999999999999957</v>
      </c>
    </row>
    <row r="25" spans="2:4" x14ac:dyDescent="0.2">
      <c r="B25" s="2">
        <v>24</v>
      </c>
      <c r="C25" s="2">
        <v>33.999999999999957</v>
      </c>
      <c r="D25" s="2">
        <v>15.000000000000027</v>
      </c>
    </row>
    <row r="26" spans="2:4" x14ac:dyDescent="0.2">
      <c r="B26" s="2">
        <v>25</v>
      </c>
      <c r="C26" s="2">
        <v>27.999999999999901</v>
      </c>
      <c r="D26" s="2">
        <v>23.000000000000078</v>
      </c>
    </row>
    <row r="27" spans="2:4" x14ac:dyDescent="0.2">
      <c r="B27" s="2">
        <v>26</v>
      </c>
      <c r="C27" s="2">
        <v>25.000000000000071</v>
      </c>
      <c r="D27" s="2">
        <v>27.000000000000064</v>
      </c>
    </row>
    <row r="28" spans="2:4" x14ac:dyDescent="0.2">
      <c r="B28" s="2">
        <v>27</v>
      </c>
      <c r="C28" s="2">
        <v>37.000000000000028</v>
      </c>
      <c r="D28" s="2">
        <v>17.000000000000099</v>
      </c>
    </row>
    <row r="29" spans="2:4" x14ac:dyDescent="0.2">
      <c r="B29" s="2">
        <v>28</v>
      </c>
      <c r="C29" s="2">
        <v>27.999999999999901</v>
      </c>
      <c r="D29" s="2">
        <v>23</v>
      </c>
    </row>
    <row r="30" spans="2:4" x14ac:dyDescent="0.2">
      <c r="B30" s="2">
        <v>29</v>
      </c>
      <c r="C30" s="2">
        <v>34.999999999999872</v>
      </c>
      <c r="D30" s="2">
        <v>20.000000000000089</v>
      </c>
    </row>
    <row r="31" spans="2:4" x14ac:dyDescent="0.2">
      <c r="B31" s="2">
        <v>30</v>
      </c>
      <c r="C31" s="2">
        <v>16.000000000000021</v>
      </c>
      <c r="D31" s="2">
        <v>24.999999999999993</v>
      </c>
    </row>
    <row r="32" spans="2:4" x14ac:dyDescent="0.2">
      <c r="B32" s="2">
        <v>31</v>
      </c>
      <c r="C32" s="2">
        <v>60.000000000000028</v>
      </c>
      <c r="D32" s="2">
        <v>18.000000000000014</v>
      </c>
    </row>
    <row r="33" spans="1:4" x14ac:dyDescent="0.2">
      <c r="B33" s="2">
        <v>32</v>
      </c>
      <c r="C33" s="2">
        <v>45</v>
      </c>
      <c r="D33" s="2">
        <v>7.0000000000000551</v>
      </c>
    </row>
    <row r="34" spans="1:4" x14ac:dyDescent="0.2">
      <c r="B34" s="2">
        <v>33</v>
      </c>
      <c r="C34" s="2">
        <v>22.999999999999918</v>
      </c>
      <c r="D34" s="2">
        <v>8.999999999999968</v>
      </c>
    </row>
    <row r="35" spans="1:4" x14ac:dyDescent="0.2">
      <c r="B35" s="2">
        <v>34</v>
      </c>
      <c r="C35" s="2">
        <v>25.000000000000071</v>
      </c>
      <c r="D35" s="2">
        <v>10.000000000000044</v>
      </c>
    </row>
    <row r="36" spans="1:4" x14ac:dyDescent="0.2">
      <c r="B36" s="2">
        <v>35</v>
      </c>
      <c r="C36" s="2">
        <v>29.999999999999972</v>
      </c>
      <c r="D36" s="2">
        <v>16.99999999999994</v>
      </c>
    </row>
    <row r="37" spans="1:4" x14ac:dyDescent="0.2">
      <c r="B37" s="2">
        <v>36</v>
      </c>
      <c r="C37" s="2">
        <v>39.000000000000021</v>
      </c>
      <c r="D37" s="2">
        <v>4.9999999999999822</v>
      </c>
    </row>
    <row r="38" spans="1:4" x14ac:dyDescent="0.2">
      <c r="A38"/>
      <c r="B38" s="2">
        <v>37</v>
      </c>
      <c r="C38" s="2">
        <v>29.000000000000057</v>
      </c>
      <c r="D38" s="2">
        <v>14.999999999999947</v>
      </c>
    </row>
    <row r="39" spans="1:4" x14ac:dyDescent="0.2">
      <c r="A39"/>
      <c r="B39" s="2">
        <v>38</v>
      </c>
      <c r="C39" s="2">
        <v>23.999999999999915</v>
      </c>
      <c r="D39" s="2">
        <v>12.000000000000037</v>
      </c>
    </row>
    <row r="40" spans="1:4" x14ac:dyDescent="0.2">
      <c r="A40"/>
      <c r="B40" s="2">
        <v>39</v>
      </c>
      <c r="C40" s="2">
        <v>25.999999999999748</v>
      </c>
      <c r="D40" s="2">
        <v>5.0000000000000622</v>
      </c>
    </row>
    <row r="41" spans="1:4" x14ac:dyDescent="0.2">
      <c r="B41" s="2">
        <v>40</v>
      </c>
      <c r="C41" s="2">
        <v>28.999999999999979</v>
      </c>
      <c r="D41" s="2">
        <v>5.9999999999999787</v>
      </c>
    </row>
    <row r="42" spans="1:4" x14ac:dyDescent="0.2">
      <c r="B42" s="2">
        <v>41</v>
      </c>
      <c r="C42" s="2">
        <v>40.000000000000014</v>
      </c>
      <c r="D42" s="2">
        <v>36.000000000000028</v>
      </c>
    </row>
    <row r="43" spans="1:4" x14ac:dyDescent="0.2">
      <c r="B43" s="2">
        <v>42</v>
      </c>
      <c r="C43" s="2">
        <v>29.999999999999972</v>
      </c>
      <c r="D43" s="2">
        <v>25.999999999999908</v>
      </c>
    </row>
    <row r="44" spans="1:4" x14ac:dyDescent="0.2">
      <c r="B44" s="2">
        <v>43</v>
      </c>
      <c r="C44" s="2">
        <v>27.000000000000224</v>
      </c>
      <c r="D44" s="2">
        <v>24.000000000000075</v>
      </c>
    </row>
    <row r="45" spans="1:4" x14ac:dyDescent="0.2">
      <c r="B45" s="2">
        <v>44</v>
      </c>
      <c r="C45" s="2">
        <v>31.00000000000005</v>
      </c>
      <c r="D45" s="2">
        <v>13.99999999999995</v>
      </c>
    </row>
    <row r="46" spans="1:4" x14ac:dyDescent="0.2">
      <c r="B46" s="2">
        <v>45</v>
      </c>
      <c r="C46" s="2">
        <v>40.000000000000014</v>
      </c>
      <c r="D46" s="2">
        <v>17.999999999999936</v>
      </c>
    </row>
    <row r="47" spans="1:4" x14ac:dyDescent="0.2">
      <c r="B47" s="2">
        <v>46</v>
      </c>
      <c r="C47" s="2">
        <v>20.999999999999925</v>
      </c>
      <c r="D47" s="2">
        <v>19.999999999999929</v>
      </c>
    </row>
    <row r="48" spans="1:4" x14ac:dyDescent="0.2">
      <c r="B48" s="2">
        <v>47</v>
      </c>
      <c r="C48" s="2">
        <v>17.000000000000021</v>
      </c>
      <c r="D48" s="2">
        <v>4.9999999999999822</v>
      </c>
    </row>
    <row r="49" spans="2:4" x14ac:dyDescent="0.2">
      <c r="B49" s="2">
        <v>48</v>
      </c>
      <c r="C49" s="2">
        <v>43.000000000000007</v>
      </c>
      <c r="D49" s="2">
        <v>23.000000000000078</v>
      </c>
    </row>
    <row r="50" spans="2:4" x14ac:dyDescent="0.2">
      <c r="B50" s="2">
        <v>49</v>
      </c>
      <c r="C50" s="2">
        <v>45</v>
      </c>
      <c r="D50" s="2">
        <v>13.000000000000034</v>
      </c>
    </row>
    <row r="51" spans="2:4" x14ac:dyDescent="0.2">
      <c r="B51" s="2">
        <v>50</v>
      </c>
      <c r="C51" s="2">
        <v>31.00000000000005</v>
      </c>
      <c r="D51" s="2">
        <v>3.9999999999999858</v>
      </c>
    </row>
    <row r="52" spans="2:4" x14ac:dyDescent="0.2">
      <c r="B52" s="2">
        <v>51</v>
      </c>
      <c r="C52" s="2">
        <v>56.000000000000043</v>
      </c>
      <c r="D52" s="2">
        <v>14.999999999999947</v>
      </c>
    </row>
    <row r="53" spans="2:4" x14ac:dyDescent="0.2">
      <c r="B53" s="2">
        <v>52</v>
      </c>
      <c r="C53" s="2">
        <v>24.999999999999911</v>
      </c>
      <c r="D53" s="2">
        <v>11.000000000000041</v>
      </c>
    </row>
    <row r="54" spans="2:4" x14ac:dyDescent="0.2">
      <c r="B54" s="2">
        <v>53</v>
      </c>
      <c r="C54" s="2">
        <v>54.999999999999964</v>
      </c>
      <c r="D54" s="2">
        <v>15.000000000000107</v>
      </c>
    </row>
    <row r="55" spans="2:4" x14ac:dyDescent="0.2">
      <c r="B55" s="2">
        <v>54</v>
      </c>
      <c r="C55" s="2">
        <v>21.000000000000085</v>
      </c>
      <c r="D55" s="2">
        <v>18.000000000000014</v>
      </c>
    </row>
    <row r="56" spans="2:4" x14ac:dyDescent="0.2">
      <c r="B56" s="2">
        <v>55</v>
      </c>
      <c r="C56" s="2">
        <v>28.00000000000006</v>
      </c>
      <c r="D56" s="2">
        <v>5.9999999999999787</v>
      </c>
    </row>
    <row r="57" spans="2:4" x14ac:dyDescent="0.2">
      <c r="B57" s="2">
        <v>56</v>
      </c>
      <c r="C57" s="2">
        <v>99.000000000000128</v>
      </c>
      <c r="D57" s="2">
        <v>10.000000000000044</v>
      </c>
    </row>
    <row r="58" spans="2:4" x14ac:dyDescent="0.2">
      <c r="B58" s="2">
        <v>57</v>
      </c>
      <c r="C58" s="2">
        <v>15.999999999999943</v>
      </c>
      <c r="D58" s="2">
        <v>22.000000000000082</v>
      </c>
    </row>
    <row r="59" spans="2:4" x14ac:dyDescent="0.2">
      <c r="B59" s="2">
        <v>58</v>
      </c>
      <c r="C59" s="2">
        <v>27.999999999999901</v>
      </c>
      <c r="D59" s="2">
        <v>24.999999999999993</v>
      </c>
    </row>
    <row r="60" spans="2:4" x14ac:dyDescent="0.2">
      <c r="B60" s="2">
        <v>59</v>
      </c>
      <c r="C60" s="2">
        <v>31.000000000000128</v>
      </c>
      <c r="D60" s="2">
        <v>10.999999999999961</v>
      </c>
    </row>
    <row r="61" spans="2:4" x14ac:dyDescent="0.2">
      <c r="B61" s="2">
        <v>60</v>
      </c>
      <c r="C61" s="2">
        <v>41.000000000000014</v>
      </c>
      <c r="D61" s="2">
        <v>5.9999999999999787</v>
      </c>
    </row>
    <row r="62" spans="2:4" x14ac:dyDescent="0.2">
      <c r="B62" s="2">
        <v>61</v>
      </c>
      <c r="C62" s="2">
        <v>28.00000000000006</v>
      </c>
      <c r="D62" s="2">
        <v>17.000000000000099</v>
      </c>
    </row>
    <row r="63" spans="2:4" x14ac:dyDescent="0.2">
      <c r="B63" s="2">
        <v>62</v>
      </c>
      <c r="C63" s="2">
        <v>22.999999999999918</v>
      </c>
      <c r="D63" s="2">
        <v>16.99999999999994</v>
      </c>
    </row>
    <row r="64" spans="2:4" x14ac:dyDescent="0.2">
      <c r="B64" s="2">
        <v>63</v>
      </c>
      <c r="C64" s="2">
        <v>41.000000000000014</v>
      </c>
      <c r="D64" s="2">
        <v>27.000000000000064</v>
      </c>
    </row>
    <row r="65" spans="2:4" x14ac:dyDescent="0.2">
      <c r="B65" s="2">
        <v>64</v>
      </c>
      <c r="C65" s="2">
        <v>41.000000000000014</v>
      </c>
      <c r="D65" s="2">
        <v>27.000000000000064</v>
      </c>
    </row>
    <row r="66" spans="2:4" x14ac:dyDescent="0.2">
      <c r="B66" s="2">
        <v>65</v>
      </c>
      <c r="C66" s="2">
        <v>40.000000000000014</v>
      </c>
      <c r="D66" s="2">
        <v>5.0000000000000622</v>
      </c>
    </row>
    <row r="67" spans="2:4" x14ac:dyDescent="0.2">
      <c r="B67" s="2">
        <v>66</v>
      </c>
      <c r="C67" s="2">
        <v>30.000000000000053</v>
      </c>
      <c r="D67" s="2">
        <v>17.000000000000099</v>
      </c>
    </row>
    <row r="68" spans="2:4" x14ac:dyDescent="0.2">
      <c r="B68" s="2">
        <v>67</v>
      </c>
      <c r="C68" s="2">
        <v>27.999999999999901</v>
      </c>
      <c r="D68" s="2">
        <v>14.00000000000011</v>
      </c>
    </row>
    <row r="69" spans="2:4" x14ac:dyDescent="0.2">
      <c r="B69" s="2">
        <v>68</v>
      </c>
      <c r="C69" s="2">
        <v>45</v>
      </c>
      <c r="D69" s="2">
        <v>14.999999999999947</v>
      </c>
    </row>
    <row r="70" spans="2:4" x14ac:dyDescent="0.2">
      <c r="B70" s="2">
        <v>69</v>
      </c>
      <c r="C70" s="2">
        <v>39.000000000000021</v>
      </c>
      <c r="D70" s="2">
        <v>15.000000000000107</v>
      </c>
    </row>
    <row r="71" spans="2:4" x14ac:dyDescent="0.2">
      <c r="B71" s="2">
        <v>70</v>
      </c>
      <c r="C71" s="2">
        <v>32.999999999999886</v>
      </c>
      <c r="D71" s="2">
        <v>15.000000000000027</v>
      </c>
    </row>
    <row r="72" spans="2:4" x14ac:dyDescent="0.2">
      <c r="B72" s="2">
        <v>71</v>
      </c>
      <c r="C72" s="2">
        <v>15.999999999999943</v>
      </c>
      <c r="D72" s="2">
        <v>25.999999999999908</v>
      </c>
    </row>
    <row r="73" spans="2:4" x14ac:dyDescent="0.2">
      <c r="B73" s="2">
        <v>72</v>
      </c>
      <c r="C73" s="2">
        <v>25.000000000000071</v>
      </c>
      <c r="D73" s="2">
        <v>27.000000000000064</v>
      </c>
    </row>
    <row r="74" spans="2:4" x14ac:dyDescent="0.2">
      <c r="B74" s="2">
        <v>73</v>
      </c>
      <c r="C74" s="2">
        <v>60.000000000000028</v>
      </c>
      <c r="D74" s="2">
        <v>8.999999999999968</v>
      </c>
    </row>
    <row r="75" spans="2:4" x14ac:dyDescent="0.2">
      <c r="B75" s="2">
        <v>74</v>
      </c>
      <c r="C75" s="2">
        <v>40.000000000000014</v>
      </c>
      <c r="D75" s="2">
        <v>23</v>
      </c>
    </row>
    <row r="76" spans="2:4" x14ac:dyDescent="0.2">
      <c r="B76" s="2">
        <v>75</v>
      </c>
      <c r="C76" s="2">
        <v>22.999999999999918</v>
      </c>
      <c r="D76" s="2">
        <v>29.999999999999893</v>
      </c>
    </row>
    <row r="77" spans="2:4" x14ac:dyDescent="0.2">
      <c r="B77" s="2">
        <v>76</v>
      </c>
      <c r="C77" s="2">
        <v>17.000000000000021</v>
      </c>
      <c r="D77" s="2">
        <v>14.00000000000011</v>
      </c>
    </row>
    <row r="78" spans="2:4" x14ac:dyDescent="0.2">
      <c r="B78" s="2">
        <v>77</v>
      </c>
      <c r="C78" s="2">
        <v>29.999999999999972</v>
      </c>
      <c r="D78" s="2">
        <v>19.999999999999929</v>
      </c>
    </row>
    <row r="79" spans="2:4" x14ac:dyDescent="0.2">
      <c r="B79" s="2">
        <v>78</v>
      </c>
      <c r="C79" s="2">
        <v>40.000000000000014</v>
      </c>
      <c r="D79" s="2">
        <v>14.00000000000003</v>
      </c>
    </row>
    <row r="80" spans="2:4" x14ac:dyDescent="0.2">
      <c r="B80" s="2">
        <v>79</v>
      </c>
      <c r="C80" s="2">
        <v>31.000000000000128</v>
      </c>
      <c r="D80" s="2">
        <v>29.999999999999893</v>
      </c>
    </row>
    <row r="81" spans="2:4" x14ac:dyDescent="0.2">
      <c r="B81" s="2">
        <v>80</v>
      </c>
      <c r="C81" s="2">
        <v>45</v>
      </c>
      <c r="D81" s="2">
        <v>23</v>
      </c>
    </row>
    <row r="82" spans="2:4" x14ac:dyDescent="0.2">
      <c r="B82" s="2">
        <v>81</v>
      </c>
      <c r="C82" s="2">
        <v>40.000000000000014</v>
      </c>
      <c r="D82" s="2">
        <v>15.000000000000107</v>
      </c>
    </row>
    <row r="83" spans="2:4" x14ac:dyDescent="0.2">
      <c r="B83" s="2">
        <v>82</v>
      </c>
      <c r="C83" s="2">
        <v>28.999999999999897</v>
      </c>
      <c r="D83" s="2">
        <v>18.000000000000014</v>
      </c>
    </row>
    <row r="84" spans="2:4" x14ac:dyDescent="0.2">
      <c r="B84" s="2">
        <v>83</v>
      </c>
      <c r="C84" s="2">
        <v>29.000000000000135</v>
      </c>
      <c r="D84" s="2">
        <v>15.999999999999943</v>
      </c>
    </row>
    <row r="85" spans="2:4" x14ac:dyDescent="0.2">
      <c r="B85" s="2">
        <v>84</v>
      </c>
      <c r="C85" s="2">
        <v>34.999999999999872</v>
      </c>
      <c r="D85" s="2">
        <v>13.99999999999995</v>
      </c>
    </row>
    <row r="86" spans="2:4" x14ac:dyDescent="0.2">
      <c r="B86" s="2">
        <v>85</v>
      </c>
      <c r="C86" s="2">
        <v>22.999999999999918</v>
      </c>
      <c r="D86" s="2">
        <v>26.000000000000068</v>
      </c>
    </row>
    <row r="87" spans="2:4" x14ac:dyDescent="0.2">
      <c r="B87" s="2">
        <v>86</v>
      </c>
      <c r="C87" s="2">
        <v>25.000000000000071</v>
      </c>
      <c r="D87" s="2">
        <v>29.999999999999893</v>
      </c>
    </row>
    <row r="88" spans="2:4" x14ac:dyDescent="0.2">
      <c r="B88" s="2">
        <v>87</v>
      </c>
      <c r="C88" s="2">
        <v>39.000000000000021</v>
      </c>
      <c r="D88" s="2">
        <v>30.000000000000053</v>
      </c>
    </row>
    <row r="89" spans="2:4" x14ac:dyDescent="0.2">
      <c r="B89" s="2">
        <v>88</v>
      </c>
      <c r="C89" s="2">
        <v>16.000000000000021</v>
      </c>
      <c r="D89" s="2">
        <v>4.9999999999999822</v>
      </c>
    </row>
    <row r="90" spans="2:4" x14ac:dyDescent="0.2">
      <c r="B90" s="2">
        <v>89</v>
      </c>
      <c r="C90" s="2">
        <v>20.000000000000007</v>
      </c>
      <c r="D90" s="2">
        <v>7.0000000000000551</v>
      </c>
    </row>
    <row r="91" spans="2:4" x14ac:dyDescent="0.2">
      <c r="B91" s="2">
        <v>90</v>
      </c>
      <c r="C91" s="2">
        <v>31.00000000000005</v>
      </c>
      <c r="D91" s="2">
        <v>15.000000000000107</v>
      </c>
    </row>
    <row r="92" spans="2:4" x14ac:dyDescent="0.2">
      <c r="B92" s="2">
        <v>91</v>
      </c>
      <c r="C92" s="2">
        <v>29.999999999999972</v>
      </c>
      <c r="D92" s="2">
        <v>30.000000000000053</v>
      </c>
    </row>
    <row r="93" spans="2:4" x14ac:dyDescent="0.2">
      <c r="B93" s="2">
        <v>92</v>
      </c>
      <c r="C93" s="2">
        <v>28.999999999999897</v>
      </c>
      <c r="D93" s="2">
        <v>15.000000000000027</v>
      </c>
    </row>
    <row r="94" spans="2:4" x14ac:dyDescent="0.2">
      <c r="B94" s="2">
        <v>93</v>
      </c>
      <c r="C94" s="2">
        <v>34.999999999999872</v>
      </c>
      <c r="D94" s="2">
        <v>11.000000000000041</v>
      </c>
    </row>
    <row r="95" spans="2:4" x14ac:dyDescent="0.2">
      <c r="B95" s="2">
        <v>94</v>
      </c>
      <c r="C95" s="2">
        <v>22.999999999999918</v>
      </c>
      <c r="D95" s="2">
        <v>7.0000000000000551</v>
      </c>
    </row>
    <row r="96" spans="2:4" x14ac:dyDescent="0.2">
      <c r="B96" s="2">
        <v>95</v>
      </c>
      <c r="C96" s="2">
        <v>25.000000000000071</v>
      </c>
      <c r="D96" s="2">
        <v>22.000000000000082</v>
      </c>
    </row>
    <row r="97" spans="2:4" x14ac:dyDescent="0.2">
      <c r="B97" s="2">
        <v>96</v>
      </c>
      <c r="C97" s="2">
        <v>11.999999999999957</v>
      </c>
      <c r="D97" s="2">
        <v>3.9999999999999858</v>
      </c>
    </row>
    <row r="98" spans="2:4" x14ac:dyDescent="0.2">
      <c r="B98" s="2">
        <v>97</v>
      </c>
      <c r="C98" s="2">
        <v>34.999999999999872</v>
      </c>
      <c r="D98" s="2">
        <v>15.999999999999943</v>
      </c>
    </row>
    <row r="99" spans="2:4" x14ac:dyDescent="0.2">
      <c r="B99" s="2">
        <v>98</v>
      </c>
      <c r="C99" s="2">
        <v>24.999999999999911</v>
      </c>
      <c r="D99" s="2">
        <v>3.9999999999999858</v>
      </c>
    </row>
    <row r="100" spans="2:4" x14ac:dyDescent="0.2">
      <c r="B100" s="2">
        <v>99</v>
      </c>
      <c r="C100" s="2">
        <v>29.000000000000057</v>
      </c>
      <c r="D100" s="2">
        <v>22.000000000000082</v>
      </c>
    </row>
  </sheetData>
  <pageMargins left="0.7" right="0.7" top="0.75" bottom="0.75" header="0.3" footer="0.3"/>
  <pageSetup orientation="portrait" horizontalDpi="300" verticalDpi="30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topLeftCell="A32" zoomScale="139" workbookViewId="0">
      <selection activeCell="C70" sqref="C70"/>
    </sheetView>
  </sheetViews>
  <sheetFormatPr baseColWidth="10" defaultColWidth="11.5" defaultRowHeight="15" x14ac:dyDescent="0.2"/>
  <cols>
    <col min="2" max="3" width="17.83203125" customWidth="1"/>
  </cols>
  <sheetData>
    <row r="1" spans="1:3" ht="68" x14ac:dyDescent="0.2">
      <c r="A1" s="8" t="s">
        <v>0</v>
      </c>
      <c r="B1" s="8" t="s">
        <v>7</v>
      </c>
      <c r="C1" s="8" t="s">
        <v>8</v>
      </c>
    </row>
    <row r="2" spans="1:3" ht="16" x14ac:dyDescent="0.2">
      <c r="A2" s="7">
        <v>1</v>
      </c>
      <c r="B2" s="7">
        <v>0</v>
      </c>
      <c r="C2" s="7">
        <v>-21</v>
      </c>
    </row>
    <row r="3" spans="1:3" ht="16" x14ac:dyDescent="0.2">
      <c r="A3" s="7">
        <v>2</v>
      </c>
      <c r="B3" s="7">
        <v>-13</v>
      </c>
      <c r="C3" s="7">
        <v>-23</v>
      </c>
    </row>
    <row r="4" spans="1:3" ht="16" x14ac:dyDescent="0.2">
      <c r="A4" s="7">
        <v>3</v>
      </c>
      <c r="B4" s="7">
        <v>-40</v>
      </c>
      <c r="C4" s="7">
        <v>-15</v>
      </c>
    </row>
    <row r="5" spans="1:3" ht="16" x14ac:dyDescent="0.2">
      <c r="A5" s="7">
        <v>4</v>
      </c>
      <c r="B5" s="7">
        <v>-20</v>
      </c>
      <c r="C5" s="7">
        <v>-38</v>
      </c>
    </row>
    <row r="6" spans="1:3" ht="16" x14ac:dyDescent="0.2">
      <c r="A6" s="7">
        <v>5</v>
      </c>
      <c r="B6" s="7">
        <v>-10</v>
      </c>
      <c r="C6" s="7">
        <v>-23</v>
      </c>
    </row>
    <row r="7" spans="1:3" ht="16" x14ac:dyDescent="0.2">
      <c r="A7" s="7">
        <v>6</v>
      </c>
      <c r="B7" s="7">
        <v>-5</v>
      </c>
      <c r="C7" s="7">
        <v>-5</v>
      </c>
    </row>
    <row r="8" spans="1:3" ht="16" x14ac:dyDescent="0.2">
      <c r="A8" s="7">
        <v>7</v>
      </c>
      <c r="B8" s="7">
        <v>-10</v>
      </c>
      <c r="C8" s="7">
        <v>-2</v>
      </c>
    </row>
    <row r="9" spans="1:3" ht="16" x14ac:dyDescent="0.2">
      <c r="A9" s="7">
        <v>8</v>
      </c>
      <c r="B9" s="7">
        <v>-30</v>
      </c>
      <c r="C9" s="7">
        <v>-15</v>
      </c>
    </row>
    <row r="10" spans="1:3" ht="16" x14ac:dyDescent="0.2">
      <c r="A10" s="7">
        <v>9</v>
      </c>
      <c r="B10" s="7">
        <v>-18</v>
      </c>
      <c r="C10" s="7">
        <v>-36</v>
      </c>
    </row>
    <row r="11" spans="1:3" ht="16" x14ac:dyDescent="0.2">
      <c r="A11" s="7">
        <v>10</v>
      </c>
      <c r="B11" s="7">
        <v>-1</v>
      </c>
      <c r="C11" s="7">
        <v>-20</v>
      </c>
    </row>
    <row r="12" spans="1:3" ht="16" x14ac:dyDescent="0.2">
      <c r="A12" s="7">
        <v>11</v>
      </c>
      <c r="B12" s="7">
        <v>-34</v>
      </c>
      <c r="C12" s="7">
        <v>-30</v>
      </c>
    </row>
    <row r="13" spans="1:3" ht="16" x14ac:dyDescent="0.2">
      <c r="A13" s="7">
        <v>12</v>
      </c>
      <c r="B13" s="7">
        <v>-2</v>
      </c>
      <c r="C13" s="7">
        <v>-36</v>
      </c>
    </row>
    <row r="14" spans="1:3" ht="16" x14ac:dyDescent="0.2">
      <c r="A14" s="7">
        <v>13</v>
      </c>
      <c r="B14" s="7">
        <v>-10</v>
      </c>
      <c r="C14" s="7">
        <v>-10</v>
      </c>
    </row>
    <row r="15" spans="1:3" ht="16" x14ac:dyDescent="0.2">
      <c r="A15" s="7">
        <v>14</v>
      </c>
      <c r="B15" s="7">
        <v>-10</v>
      </c>
      <c r="C15" s="7">
        <v>-49</v>
      </c>
    </row>
    <row r="16" spans="1:3" ht="16" x14ac:dyDescent="0.2">
      <c r="A16" s="7">
        <v>15</v>
      </c>
      <c r="B16" s="7">
        <v>-31</v>
      </c>
      <c r="C16" s="7">
        <v>-37</v>
      </c>
    </row>
    <row r="17" spans="1:3" ht="16" x14ac:dyDescent="0.2">
      <c r="A17" s="7">
        <v>16</v>
      </c>
      <c r="B17" s="7">
        <v>-16</v>
      </c>
      <c r="C17" s="7">
        <v>-53</v>
      </c>
    </row>
    <row r="18" spans="1:3" ht="16" x14ac:dyDescent="0.2">
      <c r="A18" s="7">
        <v>17</v>
      </c>
      <c r="B18" s="7">
        <v>-60</v>
      </c>
      <c r="C18" s="7">
        <v>-52</v>
      </c>
    </row>
    <row r="19" spans="1:3" ht="16" x14ac:dyDescent="0.2">
      <c r="A19" s="7">
        <v>18</v>
      </c>
      <c r="B19" s="7">
        <v>-30</v>
      </c>
      <c r="C19" s="7">
        <v>-45</v>
      </c>
    </row>
    <row r="20" spans="1:3" ht="16" x14ac:dyDescent="0.2">
      <c r="A20" s="7">
        <v>19</v>
      </c>
      <c r="B20" s="7">
        <v>-15</v>
      </c>
      <c r="C20" s="7">
        <v>-24</v>
      </c>
    </row>
    <row r="21" spans="1:3" ht="16" x14ac:dyDescent="0.2">
      <c r="A21" s="7">
        <v>20</v>
      </c>
      <c r="B21" s="7">
        <v>-29</v>
      </c>
      <c r="C21" s="7">
        <v>-34</v>
      </c>
    </row>
    <row r="22" spans="1:3" ht="16" x14ac:dyDescent="0.2">
      <c r="A22" s="7">
        <v>21</v>
      </c>
      <c r="B22" s="7">
        <v>4</v>
      </c>
      <c r="C22" s="7">
        <v>-18</v>
      </c>
    </row>
    <row r="23" spans="1:3" ht="16" x14ac:dyDescent="0.2">
      <c r="A23" s="7">
        <v>22</v>
      </c>
      <c r="B23" s="7">
        <v>-36</v>
      </c>
      <c r="C23" s="7">
        <v>-29</v>
      </c>
    </row>
    <row r="24" spans="1:3" ht="16" x14ac:dyDescent="0.2">
      <c r="A24" s="7">
        <v>23</v>
      </c>
      <c r="B24" s="7">
        <v>-35</v>
      </c>
      <c r="C24" s="7">
        <v>2</v>
      </c>
    </row>
    <row r="25" spans="1:3" ht="16" x14ac:dyDescent="0.2">
      <c r="A25" s="7">
        <v>24</v>
      </c>
      <c r="B25" s="7">
        <v>-26</v>
      </c>
      <c r="C25" s="7">
        <v>-29</v>
      </c>
    </row>
    <row r="26" spans="1:3" ht="16" x14ac:dyDescent="0.2">
      <c r="A26" s="7">
        <v>25</v>
      </c>
      <c r="B26" s="7">
        <v>-35</v>
      </c>
      <c r="C26" s="7">
        <v>-17</v>
      </c>
    </row>
    <row r="27" spans="1:3" ht="16" x14ac:dyDescent="0.2">
      <c r="A27" s="7">
        <v>26</v>
      </c>
      <c r="B27" s="7">
        <v>-26</v>
      </c>
      <c r="C27" s="7">
        <v>-35</v>
      </c>
    </row>
    <row r="28" spans="1:3" ht="16" x14ac:dyDescent="0.2">
      <c r="A28" s="7">
        <v>27</v>
      </c>
      <c r="B28" s="7">
        <v>-4</v>
      </c>
      <c r="C28" s="7">
        <v>-29</v>
      </c>
    </row>
    <row r="29" spans="1:3" ht="16" x14ac:dyDescent="0.2">
      <c r="A29" s="7">
        <v>28</v>
      </c>
      <c r="B29" s="7">
        <v>-130</v>
      </c>
      <c r="C29" s="7">
        <v>-32</v>
      </c>
    </row>
    <row r="30" spans="1:3" ht="16" x14ac:dyDescent="0.2">
      <c r="A30" s="7">
        <v>29</v>
      </c>
      <c r="B30" s="7">
        <v>-50</v>
      </c>
      <c r="C30" s="7">
        <v>-35</v>
      </c>
    </row>
    <row r="31" spans="1:3" ht="16" x14ac:dyDescent="0.2">
      <c r="A31" s="7">
        <v>30</v>
      </c>
      <c r="B31" s="7">
        <v>-26</v>
      </c>
      <c r="C31" s="7">
        <v>-30</v>
      </c>
    </row>
    <row r="32" spans="1:3" ht="16" x14ac:dyDescent="0.2">
      <c r="A32" s="7">
        <v>31</v>
      </c>
      <c r="B32" s="7">
        <v>21</v>
      </c>
      <c r="C32" s="7">
        <v>0</v>
      </c>
    </row>
    <row r="33" spans="1:3" ht="16" x14ac:dyDescent="0.2">
      <c r="A33" s="7">
        <v>32</v>
      </c>
      <c r="B33" s="7">
        <v>-11</v>
      </c>
      <c r="C33" s="7">
        <v>-41</v>
      </c>
    </row>
    <row r="34" spans="1:3" ht="16" x14ac:dyDescent="0.2">
      <c r="A34" s="7">
        <v>33</v>
      </c>
      <c r="B34" s="7">
        <v>-17</v>
      </c>
      <c r="C34" s="7">
        <v>-17</v>
      </c>
    </row>
    <row r="35" spans="1:3" ht="16" x14ac:dyDescent="0.2">
      <c r="A35" s="7">
        <v>34</v>
      </c>
      <c r="B35" s="7">
        <v>-14</v>
      </c>
      <c r="C35" s="7">
        <v>-35</v>
      </c>
    </row>
    <row r="36" spans="1:3" ht="16" x14ac:dyDescent="0.2">
      <c r="A36" s="7">
        <v>35</v>
      </c>
      <c r="B36" s="7">
        <v>-52</v>
      </c>
      <c r="C36" s="7">
        <v>-32</v>
      </c>
    </row>
    <row r="37" spans="1:3" ht="16" x14ac:dyDescent="0.2">
      <c r="A37" s="7">
        <v>36</v>
      </c>
      <c r="B37" s="7">
        <v>-35</v>
      </c>
      <c r="C37" s="7">
        <v>-18</v>
      </c>
    </row>
    <row r="38" spans="1:3" ht="16" x14ac:dyDescent="0.2">
      <c r="A38" s="7">
        <v>37</v>
      </c>
      <c r="B38" s="7">
        <v>5</v>
      </c>
      <c r="C38" s="7">
        <v>-44</v>
      </c>
    </row>
    <row r="39" spans="1:3" ht="16" x14ac:dyDescent="0.2">
      <c r="A39" s="7">
        <v>38</v>
      </c>
      <c r="B39" s="7">
        <v>40</v>
      </c>
      <c r="C39" s="7">
        <v>-15</v>
      </c>
    </row>
    <row r="40" spans="1:3" ht="16" x14ac:dyDescent="0.2">
      <c r="A40" s="7">
        <v>39</v>
      </c>
      <c r="B40" s="7">
        <v>-15</v>
      </c>
      <c r="C40" s="7">
        <v>22</v>
      </c>
    </row>
    <row r="41" spans="1:3" ht="16" x14ac:dyDescent="0.2">
      <c r="A41" s="7">
        <v>40</v>
      </c>
      <c r="B41" s="7">
        <v>-53</v>
      </c>
      <c r="C41" s="7">
        <v>-46</v>
      </c>
    </row>
    <row r="42" spans="1:3" ht="16" x14ac:dyDescent="0.2">
      <c r="A42" s="7">
        <v>41</v>
      </c>
      <c r="B42" s="7">
        <v>-30</v>
      </c>
      <c r="C42" s="7">
        <v>-17</v>
      </c>
    </row>
    <row r="43" spans="1:3" ht="16" x14ac:dyDescent="0.2">
      <c r="A43" s="7">
        <v>42</v>
      </c>
      <c r="B43" s="7">
        <v>-25</v>
      </c>
      <c r="C43" s="7">
        <v>-15</v>
      </c>
    </row>
    <row r="44" spans="1:3" ht="16" x14ac:dyDescent="0.2">
      <c r="A44" s="7">
        <v>43</v>
      </c>
      <c r="B44" s="7">
        <v>-4</v>
      </c>
      <c r="C44" s="7">
        <v>-10</v>
      </c>
    </row>
    <row r="45" spans="1:3" ht="16" x14ac:dyDescent="0.2">
      <c r="A45" s="7">
        <v>44</v>
      </c>
      <c r="B45" s="7">
        <v>-22</v>
      </c>
      <c r="C45" s="7">
        <v>-34</v>
      </c>
    </row>
    <row r="46" spans="1:3" ht="16" x14ac:dyDescent="0.2">
      <c r="A46" s="7">
        <v>45</v>
      </c>
      <c r="B46" s="7">
        <v>-11</v>
      </c>
      <c r="C46" s="7">
        <v>-39</v>
      </c>
    </row>
    <row r="47" spans="1:3" ht="16" x14ac:dyDescent="0.2">
      <c r="A47" s="7">
        <v>46</v>
      </c>
      <c r="B47" s="7">
        <v>-22</v>
      </c>
      <c r="C47" s="7">
        <v>-35</v>
      </c>
    </row>
    <row r="48" spans="1:3" ht="16" x14ac:dyDescent="0.2">
      <c r="A48" s="7">
        <v>47</v>
      </c>
      <c r="B48" s="7">
        <v>-14</v>
      </c>
      <c r="C48" s="7">
        <v>-20</v>
      </c>
    </row>
    <row r="49" spans="1:3" ht="16" x14ac:dyDescent="0.2">
      <c r="A49" s="7">
        <v>48</v>
      </c>
      <c r="B49" s="7">
        <v>-46</v>
      </c>
      <c r="C49" s="7">
        <v>-90</v>
      </c>
    </row>
    <row r="50" spans="1:3" ht="16" x14ac:dyDescent="0.2">
      <c r="A50" s="7">
        <v>49</v>
      </c>
      <c r="B50" s="7">
        <v>-10</v>
      </c>
      <c r="C50" s="7">
        <v>-45</v>
      </c>
    </row>
    <row r="51" spans="1:3" ht="16" x14ac:dyDescent="0.2">
      <c r="A51" s="7">
        <v>50</v>
      </c>
      <c r="B51" s="7">
        <v>40</v>
      </c>
      <c r="C51" s="7">
        <v>-25</v>
      </c>
    </row>
    <row r="52" spans="1:3" ht="16" x14ac:dyDescent="0.2">
      <c r="A52" s="7">
        <v>51</v>
      </c>
      <c r="B52" s="7">
        <v>-18</v>
      </c>
      <c r="C52" s="7">
        <v>-18</v>
      </c>
    </row>
    <row r="53" spans="1:3" ht="16" x14ac:dyDescent="0.2">
      <c r="A53" s="7">
        <v>52</v>
      </c>
      <c r="B53" s="7">
        <v>-30</v>
      </c>
      <c r="C53" s="7">
        <v>-25</v>
      </c>
    </row>
    <row r="54" spans="1:3" ht="16" x14ac:dyDescent="0.2">
      <c r="A54" s="7">
        <v>53</v>
      </c>
      <c r="B54" s="7">
        <v>-44</v>
      </c>
      <c r="C54" s="7">
        <v>-42</v>
      </c>
    </row>
    <row r="55" spans="1:3" ht="16" x14ac:dyDescent="0.2">
      <c r="A55" s="7">
        <v>54</v>
      </c>
      <c r="B55" s="7">
        <v>-6</v>
      </c>
      <c r="C55" s="7">
        <v>-15</v>
      </c>
    </row>
    <row r="56" spans="1:3" ht="16" x14ac:dyDescent="0.2">
      <c r="A56" s="7">
        <v>55</v>
      </c>
      <c r="B56" s="7">
        <v>-16</v>
      </c>
      <c r="C56" s="7">
        <v>-20</v>
      </c>
    </row>
    <row r="57" spans="1:3" ht="16" x14ac:dyDescent="0.2">
      <c r="A57" s="7">
        <v>56</v>
      </c>
      <c r="B57" s="7">
        <v>-15</v>
      </c>
      <c r="C57" s="7">
        <v>-17</v>
      </c>
    </row>
    <row r="58" spans="1:3" ht="16" x14ac:dyDescent="0.2">
      <c r="A58" s="7">
        <v>57</v>
      </c>
      <c r="B58" s="7">
        <v>-70</v>
      </c>
      <c r="C58" s="7">
        <v>-19</v>
      </c>
    </row>
    <row r="59" spans="1:3" ht="16" x14ac:dyDescent="0.2">
      <c r="A59" s="7">
        <v>58</v>
      </c>
      <c r="B59" s="7">
        <v>-22</v>
      </c>
      <c r="C59" s="7">
        <v>-8</v>
      </c>
    </row>
    <row r="60" spans="1:3" ht="16" x14ac:dyDescent="0.2">
      <c r="A60" s="7">
        <v>59</v>
      </c>
      <c r="B60" s="7">
        <v>-7</v>
      </c>
      <c r="C60" s="7">
        <v>-5</v>
      </c>
    </row>
    <row r="61" spans="1:3" ht="16" x14ac:dyDescent="0.2">
      <c r="A61" s="7">
        <v>60</v>
      </c>
      <c r="B61" s="7">
        <v>2</v>
      </c>
      <c r="C61" s="7">
        <v>-29</v>
      </c>
    </row>
    <row r="62" spans="1:3" ht="16" x14ac:dyDescent="0.2">
      <c r="A62" s="7">
        <v>61</v>
      </c>
      <c r="B62" s="7">
        <v>-30</v>
      </c>
      <c r="C62" s="7">
        <v>-24</v>
      </c>
    </row>
    <row r="63" spans="1:3" ht="16" x14ac:dyDescent="0.2">
      <c r="A63" s="7">
        <v>62</v>
      </c>
      <c r="B63" s="7">
        <v>-5</v>
      </c>
      <c r="C63" s="7">
        <v>0</v>
      </c>
    </row>
    <row r="64" spans="1:3" ht="16" x14ac:dyDescent="0.2">
      <c r="A64" s="7">
        <v>63</v>
      </c>
      <c r="B64" s="7">
        <v>-45</v>
      </c>
      <c r="C64" s="7">
        <v>-24</v>
      </c>
    </row>
    <row r="65" spans="1:3" ht="16" x14ac:dyDescent="0.2">
      <c r="A65" s="7">
        <v>64</v>
      </c>
      <c r="B65" s="7">
        <v>17</v>
      </c>
      <c r="C65" s="7">
        <v>-24</v>
      </c>
    </row>
    <row r="66" spans="1:3" ht="16" x14ac:dyDescent="0.2">
      <c r="A66" s="7">
        <v>65</v>
      </c>
      <c r="B66" s="7">
        <v>-29</v>
      </c>
      <c r="C66" s="7">
        <v>-15</v>
      </c>
    </row>
    <row r="67" spans="1:3" ht="16" x14ac:dyDescent="0.2">
      <c r="A67" s="7">
        <v>66</v>
      </c>
      <c r="B67" s="7">
        <v>-61</v>
      </c>
      <c r="C67" s="7">
        <v>-26</v>
      </c>
    </row>
    <row r="68" spans="1:3" ht="16" x14ac:dyDescent="0.2">
      <c r="A68" s="7">
        <v>67</v>
      </c>
      <c r="B68" s="7">
        <v>-45</v>
      </c>
      <c r="C68" s="7">
        <v>-15</v>
      </c>
    </row>
    <row r="69" spans="1:3" ht="16" x14ac:dyDescent="0.2">
      <c r="A69" s="7">
        <v>68</v>
      </c>
      <c r="B69" s="7">
        <v>-31</v>
      </c>
      <c r="C69" s="7">
        <v>-56</v>
      </c>
    </row>
    <row r="70" spans="1:3" ht="16" x14ac:dyDescent="0.2">
      <c r="A70" s="7">
        <v>69</v>
      </c>
      <c r="B70" s="7">
        <v>-4</v>
      </c>
      <c r="C70" s="7">
        <v>-20</v>
      </c>
    </row>
    <row r="71" spans="1:3" ht="16" x14ac:dyDescent="0.2">
      <c r="A71" s="7">
        <v>70</v>
      </c>
      <c r="B71" s="7">
        <v>-30</v>
      </c>
      <c r="C71" s="7">
        <v>-14</v>
      </c>
    </row>
    <row r="72" spans="1:3" ht="16" x14ac:dyDescent="0.2">
      <c r="A72" s="7">
        <v>71</v>
      </c>
      <c r="B72" s="7">
        <v>-32</v>
      </c>
      <c r="C72" s="7">
        <v>-21</v>
      </c>
    </row>
    <row r="73" spans="1:3" ht="16" x14ac:dyDescent="0.2">
      <c r="A73" s="7">
        <v>72</v>
      </c>
      <c r="B73" s="7">
        <v>-37</v>
      </c>
      <c r="C73" s="7">
        <v>-17</v>
      </c>
    </row>
    <row r="74" spans="1:3" ht="16" x14ac:dyDescent="0.2">
      <c r="A74" s="7">
        <v>73</v>
      </c>
      <c r="B74" s="7">
        <v>-46</v>
      </c>
      <c r="C74" s="7">
        <v>-35</v>
      </c>
    </row>
    <row r="75" spans="1:3" ht="16" x14ac:dyDescent="0.2">
      <c r="A75" s="7">
        <v>74</v>
      </c>
      <c r="B75" s="7">
        <v>-50</v>
      </c>
      <c r="C75" s="7"/>
    </row>
    <row r="76" spans="1:3" ht="16" x14ac:dyDescent="0.2">
      <c r="A76" s="7">
        <v>75</v>
      </c>
      <c r="B76" s="7">
        <v>5</v>
      </c>
      <c r="C76" s="7"/>
    </row>
    <row r="77" spans="1:3" ht="16" x14ac:dyDescent="0.2">
      <c r="A77" s="7">
        <v>76</v>
      </c>
      <c r="B77" s="7">
        <v>-104</v>
      </c>
      <c r="C77" s="7"/>
    </row>
    <row r="78" spans="1:3" ht="16" x14ac:dyDescent="0.2">
      <c r="A78" s="7">
        <v>77</v>
      </c>
      <c r="B78" s="7">
        <v>-34</v>
      </c>
      <c r="C78" s="7"/>
    </row>
    <row r="79" spans="1:3" ht="16" x14ac:dyDescent="0.2">
      <c r="A79" s="7">
        <v>78</v>
      </c>
      <c r="B79" s="7">
        <v>-55</v>
      </c>
      <c r="C79" s="7"/>
    </row>
    <row r="80" spans="1:3" ht="16" x14ac:dyDescent="0.2">
      <c r="A80" s="7">
        <v>79</v>
      </c>
      <c r="B80" s="7">
        <v>-3</v>
      </c>
      <c r="C80" s="7"/>
    </row>
    <row r="81" spans="1:3" ht="16" x14ac:dyDescent="0.2">
      <c r="A81" s="7">
        <v>80</v>
      </c>
      <c r="B81" s="7">
        <v>-65</v>
      </c>
      <c r="C81" s="7"/>
    </row>
    <row r="82" spans="1:3" ht="16" x14ac:dyDescent="0.2">
      <c r="A82" s="7">
        <v>81</v>
      </c>
      <c r="B82" s="7">
        <v>-23</v>
      </c>
      <c r="C82" s="7"/>
    </row>
    <row r="83" spans="1:3" ht="16" x14ac:dyDescent="0.2">
      <c r="A83" s="7">
        <v>82</v>
      </c>
      <c r="B83" s="7">
        <v>-16</v>
      </c>
      <c r="C83" s="7"/>
    </row>
    <row r="84" spans="1:3" ht="16" x14ac:dyDescent="0.2">
      <c r="A84" s="7">
        <v>83</v>
      </c>
      <c r="B84" s="7">
        <v>-15</v>
      </c>
      <c r="C84" s="7"/>
    </row>
    <row r="85" spans="1:3" ht="16" x14ac:dyDescent="0.2">
      <c r="A85" s="7">
        <v>84</v>
      </c>
      <c r="B85" s="7">
        <v>-30</v>
      </c>
      <c r="C85" s="7"/>
    </row>
    <row r="86" spans="1:3" ht="16" x14ac:dyDescent="0.2">
      <c r="A86" s="7">
        <v>85</v>
      </c>
      <c r="B86" s="7">
        <v>-8</v>
      </c>
      <c r="C86" s="7"/>
    </row>
    <row r="87" spans="1:3" ht="16" x14ac:dyDescent="0.2">
      <c r="A87" s="7">
        <v>86</v>
      </c>
      <c r="B87" s="7">
        <v>-15</v>
      </c>
      <c r="C87" s="7"/>
    </row>
    <row r="88" spans="1:3" ht="16" x14ac:dyDescent="0.2">
      <c r="A88" s="7">
        <v>87</v>
      </c>
      <c r="B88" s="7">
        <v>-30</v>
      </c>
      <c r="C88" s="7"/>
    </row>
    <row r="89" spans="1:3" ht="16" x14ac:dyDescent="0.2">
      <c r="A89" s="7">
        <v>88</v>
      </c>
      <c r="B89" s="7">
        <v>-10</v>
      </c>
      <c r="C89" s="7"/>
    </row>
    <row r="90" spans="1:3" ht="16" x14ac:dyDescent="0.2">
      <c r="A90" s="7">
        <v>89</v>
      </c>
      <c r="B90" s="7">
        <v>-57</v>
      </c>
      <c r="C90" s="7"/>
    </row>
    <row r="91" spans="1:3" ht="16" x14ac:dyDescent="0.2">
      <c r="A91" s="7">
        <v>90</v>
      </c>
      <c r="B91" s="7">
        <v>-12</v>
      </c>
      <c r="C91" s="7"/>
    </row>
    <row r="92" spans="1:3" ht="16" x14ac:dyDescent="0.2">
      <c r="A92" s="7">
        <v>91</v>
      </c>
      <c r="B92" s="7">
        <v>0</v>
      </c>
      <c r="C92" s="7"/>
    </row>
    <row r="93" spans="1:3" ht="16" x14ac:dyDescent="0.2">
      <c r="A93" s="7">
        <v>92</v>
      </c>
      <c r="B93" s="7">
        <v>-85</v>
      </c>
      <c r="C93" s="7"/>
    </row>
    <row r="94" spans="1:3" ht="16" x14ac:dyDescent="0.2">
      <c r="A94" s="7">
        <v>93</v>
      </c>
      <c r="B94" s="7">
        <v>-10</v>
      </c>
      <c r="C94" s="7"/>
    </row>
    <row r="95" spans="1:3" ht="16" x14ac:dyDescent="0.2">
      <c r="A95" s="7">
        <v>94</v>
      </c>
      <c r="B95" s="7">
        <v>-25</v>
      </c>
      <c r="C95" s="7"/>
    </row>
    <row r="96" spans="1:3" ht="16" x14ac:dyDescent="0.2">
      <c r="A96" s="7">
        <v>95</v>
      </c>
      <c r="B96" s="7">
        <v>-32</v>
      </c>
      <c r="C96" s="7"/>
    </row>
    <row r="97" spans="1:3" ht="16" x14ac:dyDescent="0.2">
      <c r="A97" s="7">
        <v>96</v>
      </c>
      <c r="B97" s="7">
        <v>-40</v>
      </c>
      <c r="C97" s="7"/>
    </row>
    <row r="98" spans="1:3" ht="16" x14ac:dyDescent="0.2">
      <c r="A98" s="7">
        <v>97</v>
      </c>
      <c r="B98" s="7">
        <v>-18</v>
      </c>
    </row>
    <row r="99" spans="1:3" ht="16" x14ac:dyDescent="0.2">
      <c r="A99" s="7">
        <v>98</v>
      </c>
      <c r="B99" s="7">
        <v>-10</v>
      </c>
    </row>
    <row r="100" spans="1:3" ht="16" x14ac:dyDescent="0.2">
      <c r="A100" s="7">
        <v>99</v>
      </c>
      <c r="B100" s="7">
        <v>-15</v>
      </c>
    </row>
    <row r="101" spans="1:3" ht="16" x14ac:dyDescent="0.2">
      <c r="A101" s="7">
        <v>100</v>
      </c>
      <c r="B101" s="7">
        <v>-25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2"/>
  <sheetViews>
    <sheetView topLeftCell="A42" zoomScale="112" workbookViewId="0">
      <selection activeCell="Y23" sqref="Y23"/>
    </sheetView>
  </sheetViews>
  <sheetFormatPr baseColWidth="10" defaultColWidth="8.83203125" defaultRowHeight="16" x14ac:dyDescent="0.2"/>
  <cols>
    <col min="1" max="1" width="17.83203125" style="2" customWidth="1"/>
    <col min="2" max="5" width="14.83203125" style="2" customWidth="1"/>
    <col min="6" max="16384" width="8.83203125" style="2"/>
  </cols>
  <sheetData>
    <row r="1" spans="1:5" s="1" customFormat="1" ht="34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">
      <c r="A2" s="2">
        <v>1</v>
      </c>
      <c r="B2" s="2">
        <v>1</v>
      </c>
      <c r="C2" s="2">
        <v>26.999999999999904</v>
      </c>
      <c r="D2" s="2">
        <v>3</v>
      </c>
      <c r="E2" s="2">
        <v>13.99999999999995</v>
      </c>
    </row>
    <row r="3" spans="1:5" x14ac:dyDescent="0.2">
      <c r="A3" s="2">
        <v>2</v>
      </c>
      <c r="B3" s="2">
        <v>4.9999999999999822</v>
      </c>
      <c r="C3" s="2">
        <v>17.000000000000099</v>
      </c>
      <c r="D3" s="2">
        <v>8</v>
      </c>
      <c r="E3" s="2">
        <v>4.9999999999998224</v>
      </c>
    </row>
    <row r="4" spans="1:5" x14ac:dyDescent="0.2">
      <c r="A4" s="2">
        <v>3</v>
      </c>
      <c r="B4" s="2">
        <v>6.9999999999999751</v>
      </c>
      <c r="C4" s="2">
        <v>8.999999999999968</v>
      </c>
      <c r="D4" s="2">
        <v>3</v>
      </c>
      <c r="E4" s="2">
        <v>6.9999999999999751</v>
      </c>
    </row>
    <row r="5" spans="1:5" x14ac:dyDescent="0.2">
      <c r="A5" s="2">
        <v>4</v>
      </c>
      <c r="B5" s="2">
        <v>0</v>
      </c>
      <c r="C5" s="2">
        <v>17.000000000000021</v>
      </c>
      <c r="D5" s="2">
        <v>2</v>
      </c>
      <c r="E5" s="2">
        <v>1.0000000000000764</v>
      </c>
    </row>
    <row r="6" spans="1:5" x14ac:dyDescent="0.2">
      <c r="A6" s="2">
        <v>5</v>
      </c>
      <c r="B6" s="2">
        <v>6.0000000000001386</v>
      </c>
      <c r="C6" s="2">
        <v>26.999999999999904</v>
      </c>
      <c r="D6" s="2">
        <v>7</v>
      </c>
      <c r="E6" s="2">
        <v>8.999999999999968</v>
      </c>
    </row>
    <row r="7" spans="1:5" x14ac:dyDescent="0.2">
      <c r="A7" s="2">
        <v>6</v>
      </c>
      <c r="B7" s="2">
        <v>1.9999999999999929</v>
      </c>
      <c r="C7" s="2">
        <v>13.000000000000034</v>
      </c>
      <c r="D7" s="2">
        <v>5</v>
      </c>
      <c r="E7" s="2">
        <v>7.9999999999999716</v>
      </c>
    </row>
    <row r="8" spans="1:5" x14ac:dyDescent="0.2">
      <c r="A8" s="2">
        <v>7</v>
      </c>
      <c r="B8" s="2">
        <v>3.9999999999999858</v>
      </c>
      <c r="C8" s="2">
        <v>31.999999999999886</v>
      </c>
      <c r="D8" s="2">
        <v>5</v>
      </c>
      <c r="E8" s="2">
        <v>9.9999999999999645</v>
      </c>
    </row>
    <row r="9" spans="1:5" x14ac:dyDescent="0.2">
      <c r="A9" s="2">
        <v>8</v>
      </c>
      <c r="B9" s="2">
        <v>3.9999999999999858</v>
      </c>
      <c r="C9" s="2">
        <v>15.000000000000107</v>
      </c>
      <c r="D9" s="2">
        <v>3</v>
      </c>
      <c r="E9" s="2">
        <v>4.9999999999999822</v>
      </c>
    </row>
    <row r="10" spans="1:5" x14ac:dyDescent="0.2">
      <c r="A10" s="2">
        <v>9</v>
      </c>
      <c r="B10" s="2">
        <v>9.000000000000048</v>
      </c>
      <c r="C10" s="2">
        <v>17.000000000000021</v>
      </c>
      <c r="D10" s="2">
        <v>12</v>
      </c>
      <c r="E10" s="2">
        <v>6.9999999999998952</v>
      </c>
    </row>
    <row r="11" spans="1:5" x14ac:dyDescent="0.2">
      <c r="A11" s="2">
        <v>10</v>
      </c>
      <c r="B11" s="2">
        <v>2.9999999999999893</v>
      </c>
      <c r="C11" s="2">
        <v>10.000000000000044</v>
      </c>
      <c r="D11" s="2">
        <v>5</v>
      </c>
      <c r="E11" s="2">
        <v>13.000000000000034</v>
      </c>
    </row>
    <row r="12" spans="1:5" x14ac:dyDescent="0.2">
      <c r="A12" s="2">
        <v>11</v>
      </c>
      <c r="B12" s="2">
        <v>22.999999999999918</v>
      </c>
      <c r="C12" s="2">
        <v>33</v>
      </c>
      <c r="D12" s="2">
        <v>6</v>
      </c>
      <c r="E12" s="2">
        <v>4.9999999999999023</v>
      </c>
    </row>
    <row r="13" spans="1:5" x14ac:dyDescent="0.2">
      <c r="A13" s="2">
        <v>12</v>
      </c>
      <c r="B13" s="2">
        <v>33.999999999999957</v>
      </c>
      <c r="C13" s="2">
        <v>19.999999999999929</v>
      </c>
      <c r="D13" s="2">
        <v>7</v>
      </c>
      <c r="E13" s="2">
        <v>13.000000000000034</v>
      </c>
    </row>
    <row r="14" spans="1:5" x14ac:dyDescent="0.2">
      <c r="A14" s="2">
        <v>13</v>
      </c>
      <c r="B14" s="2">
        <v>1.9999999999999929</v>
      </c>
      <c r="C14" s="2">
        <v>12.999999999999954</v>
      </c>
      <c r="D14" s="2">
        <v>4</v>
      </c>
      <c r="E14" s="2">
        <v>1.9999999999999929</v>
      </c>
    </row>
    <row r="15" spans="1:5" x14ac:dyDescent="0.2">
      <c r="A15" s="2">
        <v>14</v>
      </c>
      <c r="B15" s="2">
        <v>2.9999999999999893</v>
      </c>
      <c r="C15" s="2">
        <v>11.000000000000041</v>
      </c>
      <c r="D15" s="2">
        <v>4</v>
      </c>
      <c r="E15" s="2">
        <v>5.9999999999999787</v>
      </c>
    </row>
    <row r="16" spans="1:5" x14ac:dyDescent="0.2">
      <c r="A16" s="2">
        <v>15</v>
      </c>
      <c r="B16" s="2">
        <v>17.999999999999936</v>
      </c>
      <c r="C16" s="2">
        <v>5.9999999999999787</v>
      </c>
      <c r="D16" s="2">
        <v>6</v>
      </c>
      <c r="E16" s="2">
        <v>7.0000000000000551</v>
      </c>
    </row>
    <row r="17" spans="1:5" x14ac:dyDescent="0.2">
      <c r="A17" s="2">
        <v>16</v>
      </c>
      <c r="B17" s="2">
        <v>5.0000000000000622</v>
      </c>
      <c r="C17" s="2">
        <v>13.99999999999995</v>
      </c>
      <c r="D17" s="2">
        <v>3</v>
      </c>
      <c r="E17" s="2">
        <v>7.9999999999999716</v>
      </c>
    </row>
    <row r="18" spans="1:5" x14ac:dyDescent="0.2">
      <c r="A18" s="2">
        <v>17</v>
      </c>
      <c r="B18" s="2">
        <v>10.000000000000124</v>
      </c>
      <c r="C18" s="2">
        <v>16.99999999999994</v>
      </c>
      <c r="D18" s="2">
        <v>3</v>
      </c>
      <c r="E18" s="2">
        <v>6.9999999999998952</v>
      </c>
    </row>
    <row r="19" spans="1:5" x14ac:dyDescent="0.2">
      <c r="A19" s="2">
        <v>18</v>
      </c>
      <c r="B19" s="2">
        <v>22.000000000000082</v>
      </c>
      <c r="C19" s="2">
        <v>5.9999999999999787</v>
      </c>
      <c r="D19" s="2">
        <v>7</v>
      </c>
      <c r="E19" s="2">
        <v>19.000000000000092</v>
      </c>
    </row>
    <row r="20" spans="1:5" x14ac:dyDescent="0.2">
      <c r="A20" s="2">
        <v>19</v>
      </c>
      <c r="B20" s="2">
        <v>23.000000000000078</v>
      </c>
      <c r="C20" s="2">
        <v>30.000000000000053</v>
      </c>
      <c r="D20" s="2">
        <v>8</v>
      </c>
      <c r="E20" s="2">
        <v>7.9999999999999716</v>
      </c>
    </row>
    <row r="21" spans="1:5" x14ac:dyDescent="0.2">
      <c r="A21" s="2">
        <v>20</v>
      </c>
      <c r="B21" s="2">
        <v>9.9999999999999645</v>
      </c>
      <c r="C21" s="2">
        <v>47.999999999999986</v>
      </c>
      <c r="D21" s="2">
        <v>7</v>
      </c>
      <c r="E21" s="2">
        <v>7.9999999999999716</v>
      </c>
    </row>
    <row r="22" spans="1:5" x14ac:dyDescent="0.2">
      <c r="A22" s="2">
        <v>21</v>
      </c>
      <c r="B22" s="2">
        <v>3.9999999999999858</v>
      </c>
      <c r="C22" s="2">
        <v>6.9999999999999751</v>
      </c>
      <c r="D22" s="2">
        <v>2</v>
      </c>
      <c r="E22" s="2">
        <v>9.9999999999999645</v>
      </c>
    </row>
    <row r="23" spans="1:5" x14ac:dyDescent="0.2">
      <c r="A23" s="2">
        <v>22</v>
      </c>
      <c r="B23" s="2">
        <v>2.9999999999999893</v>
      </c>
      <c r="C23" s="2">
        <v>30.000000000000053</v>
      </c>
      <c r="D23" s="2">
        <v>22</v>
      </c>
      <c r="E23" s="2">
        <v>6.9999999999999751</v>
      </c>
    </row>
    <row r="24" spans="1:5" x14ac:dyDescent="0.2">
      <c r="A24" s="2">
        <v>23</v>
      </c>
      <c r="B24" s="2">
        <v>15.000000000000107</v>
      </c>
      <c r="C24" s="2">
        <v>10.999999999999961</v>
      </c>
      <c r="D24" s="2">
        <v>16</v>
      </c>
      <c r="E24" s="2">
        <v>1.9999999999999929</v>
      </c>
    </row>
    <row r="25" spans="1:5" x14ac:dyDescent="0.2">
      <c r="A25" s="2">
        <v>24</v>
      </c>
      <c r="B25" s="2">
        <v>3.9999999999999858</v>
      </c>
      <c r="C25" s="2">
        <v>17.000000000000099</v>
      </c>
      <c r="D25" s="2">
        <v>8</v>
      </c>
      <c r="E25" s="2">
        <v>3.9999999999999858</v>
      </c>
    </row>
    <row r="26" spans="1:5" x14ac:dyDescent="0.2">
      <c r="A26" s="2">
        <v>25</v>
      </c>
      <c r="B26" s="2">
        <v>4.9999999999999023</v>
      </c>
      <c r="C26" s="2">
        <v>21.000000000000085</v>
      </c>
      <c r="D26" s="2">
        <v>10</v>
      </c>
      <c r="E26" s="2">
        <v>11.000000000000041</v>
      </c>
    </row>
    <row r="27" spans="1:5" x14ac:dyDescent="0.2">
      <c r="A27" s="2">
        <v>26</v>
      </c>
      <c r="B27" s="2">
        <v>9.9999999999999645</v>
      </c>
      <c r="C27" s="2">
        <v>22</v>
      </c>
      <c r="D27" s="2">
        <v>6</v>
      </c>
      <c r="E27" s="2">
        <v>9.000000000000048</v>
      </c>
    </row>
    <row r="28" spans="1:5" x14ac:dyDescent="0.2">
      <c r="A28" s="2">
        <v>27</v>
      </c>
      <c r="B28" s="2">
        <v>17.000000000000021</v>
      </c>
      <c r="C28" s="2">
        <v>4.0000000000000657</v>
      </c>
      <c r="D28" s="2">
        <v>6</v>
      </c>
      <c r="E28" s="2">
        <v>9.9999999999999645</v>
      </c>
    </row>
    <row r="29" spans="1:5" x14ac:dyDescent="0.2">
      <c r="A29" s="2">
        <v>28</v>
      </c>
      <c r="B29" s="2">
        <v>5.9999999999999787</v>
      </c>
      <c r="C29" s="2">
        <v>24.000000000000075</v>
      </c>
      <c r="D29" s="2">
        <v>6</v>
      </c>
      <c r="E29" s="2">
        <v>11.000000000000121</v>
      </c>
    </row>
    <row r="30" spans="1:5" x14ac:dyDescent="0.2">
      <c r="A30" s="2">
        <v>29</v>
      </c>
      <c r="B30" s="2">
        <v>11.999999999999957</v>
      </c>
      <c r="C30" s="2">
        <v>19.999999999999929</v>
      </c>
      <c r="D30" s="2">
        <v>9</v>
      </c>
      <c r="E30" s="2">
        <v>8.999999999999968</v>
      </c>
    </row>
    <row r="31" spans="1:5" x14ac:dyDescent="0.2">
      <c r="A31" s="2">
        <v>30</v>
      </c>
      <c r="B31" s="2">
        <v>16.99999999999994</v>
      </c>
      <c r="C31" s="2">
        <v>20.999999999999925</v>
      </c>
      <c r="D31" s="2">
        <v>10</v>
      </c>
      <c r="E31" s="2">
        <v>12.999999999999874</v>
      </c>
    </row>
    <row r="32" spans="1:5" x14ac:dyDescent="0.2">
      <c r="A32" s="2">
        <v>31</v>
      </c>
      <c r="B32" s="2">
        <v>14.00000000000003</v>
      </c>
      <c r="C32" s="2">
        <v>5.9999999999999787</v>
      </c>
      <c r="D32" s="2">
        <v>1</v>
      </c>
      <c r="E32" s="2">
        <v>29.999999999999972</v>
      </c>
    </row>
    <row r="33" spans="1:5" x14ac:dyDescent="0.2">
      <c r="A33" s="2">
        <v>32</v>
      </c>
      <c r="B33" s="2">
        <v>3.9999999999999858</v>
      </c>
      <c r="C33" s="2">
        <v>19.000000000000014</v>
      </c>
      <c r="D33" s="2">
        <v>4</v>
      </c>
      <c r="E33" s="2">
        <v>15.000000000000027</v>
      </c>
    </row>
    <row r="34" spans="1:5" x14ac:dyDescent="0.2">
      <c r="A34" s="2">
        <v>33</v>
      </c>
      <c r="B34" s="2">
        <v>8.9999999999998881</v>
      </c>
      <c r="C34" s="2">
        <v>11.000000000000041</v>
      </c>
      <c r="D34" s="2">
        <v>27</v>
      </c>
      <c r="E34" s="2">
        <v>5.0000000000000622</v>
      </c>
    </row>
    <row r="35" spans="1:5" x14ac:dyDescent="0.2">
      <c r="A35" s="2">
        <v>34</v>
      </c>
      <c r="B35" s="2">
        <v>15.000000000000027</v>
      </c>
      <c r="C35" s="2">
        <v>10.999999999999961</v>
      </c>
      <c r="D35" s="2">
        <v>7</v>
      </c>
      <c r="E35" s="2">
        <v>17.000000000000021</v>
      </c>
    </row>
    <row r="36" spans="1:5" x14ac:dyDescent="0.2">
      <c r="A36" s="2">
        <v>35</v>
      </c>
      <c r="B36" s="2">
        <v>2.9999999999999094</v>
      </c>
      <c r="C36" s="2">
        <v>16.000000000000021</v>
      </c>
      <c r="D36" s="2">
        <v>7</v>
      </c>
      <c r="E36" s="2">
        <v>10.999999999999961</v>
      </c>
    </row>
    <row r="37" spans="1:5" x14ac:dyDescent="0.2">
      <c r="A37" s="2">
        <v>36</v>
      </c>
      <c r="B37" s="2">
        <v>3.9999999999999858</v>
      </c>
      <c r="C37" s="2">
        <v>31.00000000000005</v>
      </c>
      <c r="D37" s="2">
        <v>3</v>
      </c>
      <c r="E37" s="2">
        <v>12.999999999999954</v>
      </c>
    </row>
    <row r="38" spans="1:5" x14ac:dyDescent="0.2">
      <c r="A38" s="2">
        <v>37</v>
      </c>
      <c r="B38" s="2">
        <v>5.9999999999999787</v>
      </c>
      <c r="C38" s="2">
        <v>27.999999999999979</v>
      </c>
      <c r="D38" s="2">
        <v>7</v>
      </c>
      <c r="E38" s="2">
        <v>29.000000000000057</v>
      </c>
    </row>
    <row r="39" spans="1:5" x14ac:dyDescent="0.2">
      <c r="A39" s="2">
        <v>38</v>
      </c>
      <c r="B39" s="2">
        <v>16.000000000000021</v>
      </c>
      <c r="C39" s="2">
        <v>7.9999999999999716</v>
      </c>
      <c r="D39" s="2">
        <v>4</v>
      </c>
      <c r="E39" s="2">
        <v>29.000000000000057</v>
      </c>
    </row>
    <row r="40" spans="1:5" x14ac:dyDescent="0.2">
      <c r="A40" s="2">
        <v>39</v>
      </c>
      <c r="B40" s="2">
        <v>16.000000000000021</v>
      </c>
      <c r="C40" s="2">
        <v>7.9999999999999716</v>
      </c>
      <c r="D40" s="2">
        <v>4</v>
      </c>
      <c r="E40" s="2">
        <v>11.999999999999957</v>
      </c>
    </row>
    <row r="41" spans="1:5" x14ac:dyDescent="0.2">
      <c r="A41" s="2">
        <v>40</v>
      </c>
      <c r="B41" s="2">
        <v>11.000000000000121</v>
      </c>
      <c r="C41" s="2">
        <v>12.999999999999954</v>
      </c>
      <c r="D41" s="2">
        <v>16</v>
      </c>
      <c r="E41" s="2">
        <v>8.999999999999968</v>
      </c>
    </row>
    <row r="42" spans="1:5" x14ac:dyDescent="0.2">
      <c r="A42" s="2">
        <v>41</v>
      </c>
      <c r="B42" s="2">
        <v>3.9999999999999858</v>
      </c>
      <c r="C42" s="2">
        <v>8.0000000000001315</v>
      </c>
      <c r="D42" s="2">
        <v>17</v>
      </c>
      <c r="E42" s="2">
        <v>12.999999999999954</v>
      </c>
    </row>
    <row r="43" spans="1:5" x14ac:dyDescent="0.2">
      <c r="A43" s="2">
        <v>42</v>
      </c>
      <c r="B43" s="2">
        <v>11.000000000000041</v>
      </c>
      <c r="C43" s="2">
        <v>34.999999999999872</v>
      </c>
      <c r="D43" s="2">
        <v>6</v>
      </c>
      <c r="E43" s="2">
        <v>8.0000000000000515</v>
      </c>
    </row>
    <row r="44" spans="1:5" x14ac:dyDescent="0.2">
      <c r="A44" s="2">
        <v>43</v>
      </c>
      <c r="B44" s="2">
        <v>4.9999999999999023</v>
      </c>
      <c r="C44" s="2">
        <v>12.000000000000037</v>
      </c>
      <c r="D44" s="2">
        <v>1</v>
      </c>
      <c r="E44" s="2">
        <v>16.000000000000103</v>
      </c>
    </row>
    <row r="45" spans="1:5" x14ac:dyDescent="0.2">
      <c r="A45" s="2">
        <v>44</v>
      </c>
      <c r="B45" s="2">
        <v>18.000000000000096</v>
      </c>
      <c r="C45" s="2">
        <v>15.999999999999943</v>
      </c>
      <c r="D45" s="2">
        <v>9</v>
      </c>
      <c r="E45" s="2">
        <v>8.0000000000001315</v>
      </c>
    </row>
    <row r="46" spans="1:5" x14ac:dyDescent="0.2">
      <c r="A46" s="2">
        <v>45</v>
      </c>
      <c r="B46" s="2">
        <v>7.9999999999999716</v>
      </c>
      <c r="C46" s="2">
        <v>11.999999999999957</v>
      </c>
      <c r="D46" s="2">
        <v>3</v>
      </c>
      <c r="E46" s="2">
        <v>11.999999999999957</v>
      </c>
    </row>
    <row r="47" spans="1:5" x14ac:dyDescent="0.2">
      <c r="A47" s="2">
        <v>46</v>
      </c>
      <c r="B47" s="2">
        <v>8.999999999999968</v>
      </c>
      <c r="C47" s="2">
        <v>22.000000000000082</v>
      </c>
      <c r="D47" s="2">
        <v>6</v>
      </c>
      <c r="E47" s="2">
        <v>3.9999999999999858</v>
      </c>
    </row>
    <row r="48" spans="1:5" x14ac:dyDescent="0.2">
      <c r="A48" s="2">
        <v>47</v>
      </c>
      <c r="B48" s="2">
        <v>2.9999999999999893</v>
      </c>
      <c r="C48" s="2">
        <v>18.000000000000096</v>
      </c>
      <c r="D48" s="2">
        <v>10</v>
      </c>
      <c r="E48" s="2">
        <v>9.9999999999999645</v>
      </c>
    </row>
    <row r="49" spans="1:5" x14ac:dyDescent="0.2">
      <c r="A49" s="2">
        <v>48</v>
      </c>
      <c r="B49" s="2">
        <v>3.9999999999999858</v>
      </c>
      <c r="C49" s="2">
        <v>13.99999999999995</v>
      </c>
      <c r="D49" s="2">
        <v>3</v>
      </c>
      <c r="E49" s="2">
        <v>16.000000000000103</v>
      </c>
    </row>
    <row r="50" spans="1:5" x14ac:dyDescent="0.2">
      <c r="A50" s="2">
        <v>49</v>
      </c>
      <c r="B50" s="2">
        <v>6.0000000000001386</v>
      </c>
      <c r="C50" s="2">
        <v>14.999999999999947</v>
      </c>
      <c r="D50" s="2">
        <v>17</v>
      </c>
      <c r="E50" s="2">
        <v>7.9999999999999716</v>
      </c>
    </row>
    <row r="51" spans="1:5" x14ac:dyDescent="0.2">
      <c r="A51" s="2">
        <v>50</v>
      </c>
      <c r="B51" s="2">
        <v>6.0000000000000586</v>
      </c>
      <c r="C51" s="2">
        <v>13.99999999999995</v>
      </c>
      <c r="D51" s="2">
        <v>6</v>
      </c>
      <c r="E51" s="2">
        <v>16.99999999999994</v>
      </c>
    </row>
    <row r="52" spans="1:5" x14ac:dyDescent="0.2">
      <c r="A52" s="2">
        <v>51</v>
      </c>
      <c r="B52" s="2">
        <v>9.9999999999999645</v>
      </c>
      <c r="C52" s="2">
        <v>10.000000000000044</v>
      </c>
      <c r="D52" s="2">
        <v>6</v>
      </c>
      <c r="E52" s="2">
        <v>17.000000000000099</v>
      </c>
    </row>
    <row r="53" spans="1:5" x14ac:dyDescent="0.2">
      <c r="A53" s="2">
        <v>52</v>
      </c>
      <c r="B53" s="2">
        <v>3.9999999999999858</v>
      </c>
      <c r="C53" s="2">
        <v>29.000000000000057</v>
      </c>
      <c r="D53" s="2">
        <v>3</v>
      </c>
      <c r="E53" s="2">
        <v>10.999999999999961</v>
      </c>
    </row>
    <row r="54" spans="1:5" x14ac:dyDescent="0.2">
      <c r="A54" s="2">
        <v>53</v>
      </c>
      <c r="B54" s="2">
        <v>26.999999999999986</v>
      </c>
      <c r="C54" s="2">
        <v>27.999999999999979</v>
      </c>
      <c r="D54" s="2">
        <v>23</v>
      </c>
      <c r="E54" s="2">
        <v>14.999999999999947</v>
      </c>
    </row>
    <row r="55" spans="1:5" x14ac:dyDescent="0.2">
      <c r="A55" s="2">
        <v>54</v>
      </c>
      <c r="B55" s="2">
        <v>7.0000000000000551</v>
      </c>
      <c r="C55" s="2">
        <v>42.000000000000014</v>
      </c>
      <c r="D55" s="2">
        <v>4</v>
      </c>
      <c r="E55" s="2">
        <v>1.9999999999999929</v>
      </c>
    </row>
    <row r="56" spans="1:5" x14ac:dyDescent="0.2">
      <c r="A56" s="2">
        <v>55</v>
      </c>
      <c r="B56" s="2">
        <v>11.999999999999957</v>
      </c>
      <c r="C56" s="2">
        <v>13.000000000000034</v>
      </c>
      <c r="D56" s="2">
        <v>4</v>
      </c>
      <c r="E56" s="2">
        <v>17.000000000000099</v>
      </c>
    </row>
    <row r="57" spans="1:5" x14ac:dyDescent="0.2">
      <c r="A57" s="2">
        <v>56</v>
      </c>
      <c r="B57" s="2">
        <v>21.999999999999922</v>
      </c>
      <c r="C57" s="2">
        <v>12.000000000000037</v>
      </c>
      <c r="D57" s="2">
        <v>2</v>
      </c>
      <c r="E57" s="2">
        <v>13.99999999999995</v>
      </c>
    </row>
    <row r="58" spans="1:5" x14ac:dyDescent="0.2">
      <c r="A58" s="2">
        <v>57</v>
      </c>
      <c r="B58" s="2">
        <v>4.9999999999999822</v>
      </c>
      <c r="C58" s="2">
        <v>35.000000000000036</v>
      </c>
      <c r="D58" s="2">
        <v>12</v>
      </c>
      <c r="E58" s="2">
        <v>21.999999999999922</v>
      </c>
    </row>
    <row r="59" spans="1:5" x14ac:dyDescent="0.2">
      <c r="A59" s="2">
        <v>58</v>
      </c>
      <c r="B59" s="2">
        <v>6.9999999999999751</v>
      </c>
      <c r="C59" s="2">
        <v>35.000000000000036</v>
      </c>
      <c r="D59" s="2">
        <v>6</v>
      </c>
      <c r="E59" s="2">
        <v>8.999999999999968</v>
      </c>
    </row>
    <row r="60" spans="1:5" x14ac:dyDescent="0.2">
      <c r="A60" s="2">
        <v>59</v>
      </c>
      <c r="B60" s="2">
        <v>1.9999999999999929</v>
      </c>
      <c r="C60" s="2">
        <v>12.999999999999954</v>
      </c>
      <c r="D60" s="2">
        <v>3</v>
      </c>
      <c r="E60" s="2">
        <v>6.9999999999998952</v>
      </c>
    </row>
    <row r="61" spans="1:5" x14ac:dyDescent="0.2">
      <c r="A61" s="2">
        <v>60</v>
      </c>
      <c r="B61" s="2">
        <v>15.999999999999943</v>
      </c>
      <c r="C61" s="2">
        <v>46.000000000000078</v>
      </c>
      <c r="D61" s="2">
        <v>6</v>
      </c>
      <c r="E61" s="2">
        <v>8.999999999999968</v>
      </c>
    </row>
    <row r="62" spans="1:5" x14ac:dyDescent="0.2">
      <c r="A62" s="2">
        <v>61</v>
      </c>
      <c r="B62" s="2">
        <v>3.0000000000001492</v>
      </c>
      <c r="C62" s="2">
        <v>23.999999999999915</v>
      </c>
      <c r="D62" s="2">
        <v>12</v>
      </c>
      <c r="E62" s="2">
        <v>13.000000000000034</v>
      </c>
    </row>
    <row r="63" spans="1:5" x14ac:dyDescent="0.2">
      <c r="A63" s="2">
        <v>62</v>
      </c>
      <c r="B63" s="2">
        <v>7.0000000000000551</v>
      </c>
      <c r="C63" s="2">
        <v>11.999999999999957</v>
      </c>
      <c r="D63" s="2">
        <v>2</v>
      </c>
      <c r="E63" s="2">
        <v>10.999999999999961</v>
      </c>
    </row>
    <row r="64" spans="1:5" x14ac:dyDescent="0.2">
      <c r="A64" s="2">
        <v>63</v>
      </c>
      <c r="B64" s="2">
        <v>1.9999999999999929</v>
      </c>
      <c r="C64" s="2">
        <v>20.999999999999925</v>
      </c>
      <c r="D64" s="2">
        <v>8</v>
      </c>
      <c r="E64" s="2">
        <v>19.000000000000014</v>
      </c>
    </row>
    <row r="65" spans="1:5" x14ac:dyDescent="0.2">
      <c r="A65" s="2">
        <v>64</v>
      </c>
      <c r="B65" s="2">
        <v>49.999999999999901</v>
      </c>
      <c r="C65" s="2">
        <v>35.99999999999995</v>
      </c>
      <c r="D65" s="2">
        <v>4</v>
      </c>
      <c r="E65" s="2">
        <v>13.000000000000034</v>
      </c>
    </row>
    <row r="66" spans="1:5" x14ac:dyDescent="0.2">
      <c r="A66" s="2">
        <v>65</v>
      </c>
      <c r="B66" s="2">
        <v>3.9999999999999858</v>
      </c>
      <c r="C66" s="2">
        <v>6.9999999999998952</v>
      </c>
      <c r="D66" s="2">
        <v>8</v>
      </c>
      <c r="E66" s="2">
        <v>8.9999999999998082</v>
      </c>
    </row>
    <row r="67" spans="1:5" x14ac:dyDescent="0.2">
      <c r="A67" s="2">
        <v>66</v>
      </c>
      <c r="B67" s="2">
        <v>41.999999999999929</v>
      </c>
      <c r="C67" s="2">
        <v>13.99999999999995</v>
      </c>
      <c r="D67" s="2">
        <v>8</v>
      </c>
      <c r="E67" s="2">
        <v>23.999999999999915</v>
      </c>
    </row>
    <row r="68" spans="1:5" x14ac:dyDescent="0.2">
      <c r="A68" s="2">
        <v>67</v>
      </c>
      <c r="B68" s="2">
        <v>23</v>
      </c>
      <c r="C68" s="2">
        <v>52.000000000000057</v>
      </c>
      <c r="D68" s="2">
        <v>18</v>
      </c>
      <c r="E68" s="2">
        <v>3.9999999999999858</v>
      </c>
    </row>
    <row r="69" spans="1:5" x14ac:dyDescent="0.2">
      <c r="A69" s="2">
        <v>68</v>
      </c>
      <c r="B69" s="2">
        <v>4.0000000000001457</v>
      </c>
      <c r="C69" s="2">
        <v>28.999999999999897</v>
      </c>
      <c r="D69" s="2">
        <v>19</v>
      </c>
      <c r="E69" s="2">
        <v>8.0000000000001315</v>
      </c>
    </row>
    <row r="70" spans="1:5" x14ac:dyDescent="0.2">
      <c r="A70" s="2">
        <v>69</v>
      </c>
      <c r="B70" s="2">
        <v>2.9999999999999094</v>
      </c>
      <c r="C70" s="2">
        <v>35.99999999999995</v>
      </c>
      <c r="D70" s="2">
        <v>5</v>
      </c>
      <c r="E70" s="2">
        <v>5.0000000000000622</v>
      </c>
    </row>
    <row r="71" spans="1:5" x14ac:dyDescent="0.2">
      <c r="A71" s="2">
        <v>70</v>
      </c>
      <c r="B71" s="2">
        <v>4.9999999999999023</v>
      </c>
      <c r="C71" s="2">
        <v>12.000000000000037</v>
      </c>
      <c r="D71" s="2">
        <v>5</v>
      </c>
      <c r="E71" s="2">
        <v>17.000000000000099</v>
      </c>
    </row>
    <row r="72" spans="1:5" x14ac:dyDescent="0.2">
      <c r="A72" s="2">
        <v>71</v>
      </c>
      <c r="B72" s="2">
        <v>25.999999999999986</v>
      </c>
      <c r="C72" s="2">
        <v>17.000000000000021</v>
      </c>
      <c r="D72" s="2">
        <v>9</v>
      </c>
      <c r="E72" s="2">
        <v>7.9999999999999716</v>
      </c>
    </row>
    <row r="73" spans="1:5" x14ac:dyDescent="0.2">
      <c r="A73" s="2">
        <v>72</v>
      </c>
      <c r="B73" s="2">
        <v>0.99999999999983658</v>
      </c>
      <c r="C73" s="2">
        <v>13.000000000000114</v>
      </c>
      <c r="D73" s="2">
        <v>3</v>
      </c>
      <c r="E73" s="2">
        <v>6.9999999999999751</v>
      </c>
    </row>
    <row r="74" spans="1:5" x14ac:dyDescent="0.2">
      <c r="A74" s="2">
        <v>73</v>
      </c>
      <c r="B74" s="2">
        <v>5.0000000000001421</v>
      </c>
      <c r="C74" s="2">
        <v>33.999999999999879</v>
      </c>
      <c r="D74" s="2">
        <v>8</v>
      </c>
      <c r="E74" s="2">
        <v>7.9999999999999716</v>
      </c>
    </row>
    <row r="75" spans="1:5" x14ac:dyDescent="0.2">
      <c r="A75" s="2">
        <v>74</v>
      </c>
      <c r="B75" s="2">
        <v>24.000000000000075</v>
      </c>
      <c r="C75" s="2">
        <v>9.9999999999999645</v>
      </c>
      <c r="D75" s="2">
        <v>4</v>
      </c>
      <c r="E75" s="2">
        <v>36.000000000000192</v>
      </c>
    </row>
    <row r="76" spans="1:5" x14ac:dyDescent="0.2">
      <c r="A76" s="2">
        <v>75</v>
      </c>
      <c r="B76" s="2">
        <v>3.9999999999999858</v>
      </c>
      <c r="C76" s="2">
        <v>30.000000000000053</v>
      </c>
      <c r="D76" s="2">
        <v>6</v>
      </c>
      <c r="E76" s="2">
        <v>24.000000000000075</v>
      </c>
    </row>
    <row r="77" spans="1:5" x14ac:dyDescent="0.2">
      <c r="A77" s="2">
        <v>76</v>
      </c>
      <c r="B77" s="2">
        <v>6.9999999999999751</v>
      </c>
      <c r="C77" s="2">
        <v>44</v>
      </c>
      <c r="D77" s="2">
        <v>20</v>
      </c>
      <c r="E77" s="2">
        <v>18.000000000000096</v>
      </c>
    </row>
    <row r="78" spans="1:5" x14ac:dyDescent="0.2">
      <c r="A78" s="2">
        <v>77</v>
      </c>
      <c r="B78" s="2">
        <v>8.9999999999998082</v>
      </c>
      <c r="C78" s="2">
        <v>23.000000000000078</v>
      </c>
      <c r="D78" s="2">
        <v>0</v>
      </c>
      <c r="E78" s="2">
        <v>37.000000000000028</v>
      </c>
    </row>
    <row r="79" spans="1:5" x14ac:dyDescent="0.2">
      <c r="A79" s="2">
        <v>78</v>
      </c>
      <c r="B79" s="2">
        <v>28.00000000000006</v>
      </c>
      <c r="C79" s="2">
        <v>7.9999999999999716</v>
      </c>
      <c r="D79" s="2">
        <v>9</v>
      </c>
      <c r="E79" s="2">
        <v>19.000000000000014</v>
      </c>
    </row>
    <row r="80" spans="1:5" x14ac:dyDescent="0.2">
      <c r="A80" s="2">
        <v>79</v>
      </c>
      <c r="B80" s="2">
        <v>13.000000000000034</v>
      </c>
      <c r="C80" s="2">
        <v>9.000000000000048</v>
      </c>
      <c r="D80" s="2">
        <v>5</v>
      </c>
      <c r="E80" s="2">
        <v>4.9999999999999822</v>
      </c>
    </row>
    <row r="81" spans="1:5" x14ac:dyDescent="0.2">
      <c r="A81" s="2">
        <v>80</v>
      </c>
      <c r="B81" s="2">
        <v>15.000000000000027</v>
      </c>
      <c r="C81" s="2">
        <v>11.999999999999957</v>
      </c>
      <c r="D81" s="2">
        <v>14</v>
      </c>
      <c r="E81" s="2">
        <v>23</v>
      </c>
    </row>
    <row r="82" spans="1:5" x14ac:dyDescent="0.2">
      <c r="A82" s="2">
        <v>81</v>
      </c>
      <c r="B82" s="2">
        <v>9.9999999999999645</v>
      </c>
      <c r="C82" s="2">
        <v>27.999999999999979</v>
      </c>
      <c r="D82" s="2">
        <v>15</v>
      </c>
      <c r="E82" s="2">
        <v>17.999999999999936</v>
      </c>
    </row>
    <row r="83" spans="1:5" x14ac:dyDescent="0.2">
      <c r="A83" s="2">
        <v>82</v>
      </c>
      <c r="B83" s="2">
        <v>6.9999999999999751</v>
      </c>
      <c r="C83" s="2">
        <v>22.999999999999918</v>
      </c>
      <c r="D83" s="2">
        <v>17</v>
      </c>
      <c r="E83" s="2">
        <v>16.000000000000021</v>
      </c>
    </row>
    <row r="84" spans="1:5" x14ac:dyDescent="0.2">
      <c r="A84" s="2">
        <v>83</v>
      </c>
      <c r="B84" s="2">
        <v>11.999999999999957</v>
      </c>
      <c r="C84" s="2">
        <v>31.00000000000005</v>
      </c>
      <c r="D84" s="2">
        <v>21</v>
      </c>
      <c r="E84" s="2">
        <v>16.000000000000103</v>
      </c>
    </row>
    <row r="85" spans="1:5" x14ac:dyDescent="0.2">
      <c r="A85" s="2">
        <v>84</v>
      </c>
      <c r="B85" s="2">
        <v>6.9999999999999751</v>
      </c>
      <c r="C85" s="2">
        <v>34.999999999999872</v>
      </c>
      <c r="D85" s="2">
        <v>14</v>
      </c>
      <c r="E85" s="2">
        <v>3.9999999999999858</v>
      </c>
    </row>
    <row r="86" spans="1:5" x14ac:dyDescent="0.2">
      <c r="A86" s="2">
        <v>85</v>
      </c>
      <c r="B86" s="2">
        <v>13.000000000000114</v>
      </c>
      <c r="C86" s="2">
        <v>24.999999999999911</v>
      </c>
      <c r="D86" s="2">
        <v>7</v>
      </c>
      <c r="E86" s="2">
        <v>27.999999999999901</v>
      </c>
    </row>
    <row r="87" spans="1:5" x14ac:dyDescent="0.2">
      <c r="A87" s="2">
        <v>86</v>
      </c>
      <c r="B87" s="2">
        <v>9.0000000000001279</v>
      </c>
      <c r="C87" s="2">
        <v>17.000000000000021</v>
      </c>
      <c r="D87" s="2">
        <v>8</v>
      </c>
      <c r="E87" s="2">
        <v>7.9999999999999716</v>
      </c>
    </row>
    <row r="88" spans="1:5" x14ac:dyDescent="0.2">
      <c r="A88" s="2">
        <v>87</v>
      </c>
      <c r="B88" s="2">
        <v>35.000000000000036</v>
      </c>
      <c r="C88" s="2">
        <v>22.999999999999918</v>
      </c>
      <c r="D88" s="2">
        <v>4</v>
      </c>
      <c r="E88" s="2">
        <v>19.999999999999929</v>
      </c>
    </row>
    <row r="89" spans="1:5" x14ac:dyDescent="0.2">
      <c r="A89" s="2">
        <v>88</v>
      </c>
      <c r="B89" s="2">
        <v>3.9999999999999858</v>
      </c>
      <c r="C89" s="2">
        <v>7.9999999999999716</v>
      </c>
      <c r="E89" s="2">
        <v>19.999999999999929</v>
      </c>
    </row>
    <row r="90" spans="1:5" x14ac:dyDescent="0.2">
      <c r="A90" s="2">
        <v>89</v>
      </c>
      <c r="B90" s="2">
        <v>2.9999999999998295</v>
      </c>
      <c r="C90" s="2">
        <v>13.000000000000034</v>
      </c>
      <c r="E90" s="2">
        <v>19.999999999999929</v>
      </c>
    </row>
    <row r="91" spans="1:5" x14ac:dyDescent="0.2">
      <c r="A91" s="2">
        <v>90</v>
      </c>
      <c r="B91" s="2">
        <v>3.0000000000000693</v>
      </c>
      <c r="C91" s="2">
        <v>29.000000000000057</v>
      </c>
      <c r="E91" s="2">
        <v>5.9999999999999787</v>
      </c>
    </row>
    <row r="92" spans="1:5" x14ac:dyDescent="0.2">
      <c r="A92" s="2">
        <v>91</v>
      </c>
      <c r="B92" s="2">
        <v>3.9999999999999858</v>
      </c>
      <c r="E92" s="2">
        <v>15.999999999999943</v>
      </c>
    </row>
  </sheetData>
  <pageMargins left="0.7" right="0.7" top="0.75" bottom="0.75" header="0.3" footer="0.3"/>
  <pageSetup orientation="portrait" horizontalDpi="300" verticalDpi="30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1"/>
  <sheetViews>
    <sheetView zoomScale="88" workbookViewId="0">
      <selection activeCell="X24" sqref="X24"/>
    </sheetView>
  </sheetViews>
  <sheetFormatPr baseColWidth="10" defaultColWidth="8.83203125" defaultRowHeight="16" x14ac:dyDescent="0.2"/>
  <cols>
    <col min="1" max="1" width="17.83203125" style="2" customWidth="1"/>
    <col min="2" max="2" width="14.83203125" style="2" customWidth="1"/>
    <col min="3" max="3" width="14.83203125" customWidth="1"/>
    <col min="4" max="5" width="14.83203125" style="2" customWidth="1"/>
    <col min="6" max="16384" width="8.83203125" style="2"/>
  </cols>
  <sheetData>
    <row r="1" spans="1:5" s="1" customFormat="1" ht="34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">
      <c r="A2" s="2">
        <v>1</v>
      </c>
      <c r="B2" s="2">
        <v>1.0000000000000764</v>
      </c>
      <c r="C2" s="2">
        <v>29.999999999999972</v>
      </c>
      <c r="D2" s="2">
        <v>15</v>
      </c>
      <c r="E2" s="2">
        <v>10.999999999999961</v>
      </c>
    </row>
    <row r="3" spans="1:5" x14ac:dyDescent="0.2">
      <c r="A3" s="2">
        <v>2</v>
      </c>
      <c r="B3" s="2">
        <v>10.999999999999961</v>
      </c>
      <c r="C3" s="2">
        <v>18.999999999999932</v>
      </c>
      <c r="D3" s="2">
        <v>2</v>
      </c>
      <c r="E3" s="2">
        <v>10.999999999999961</v>
      </c>
    </row>
    <row r="4" spans="1:5" x14ac:dyDescent="0.2">
      <c r="A4" s="2">
        <v>3</v>
      </c>
      <c r="B4" s="2">
        <v>16.99999999999994</v>
      </c>
      <c r="C4" s="2">
        <v>38.999999999999858</v>
      </c>
      <c r="D4" s="2">
        <v>2</v>
      </c>
      <c r="E4" s="2">
        <v>57.000000000000043</v>
      </c>
    </row>
    <row r="5" spans="1:5" x14ac:dyDescent="0.2">
      <c r="A5" s="2">
        <v>4</v>
      </c>
      <c r="B5" s="2">
        <v>8.999999999999968</v>
      </c>
      <c r="C5" s="2">
        <v>23</v>
      </c>
      <c r="D5" s="2">
        <v>0</v>
      </c>
      <c r="E5" s="2">
        <v>9.9999999999999645</v>
      </c>
    </row>
    <row r="6" spans="1:5" x14ac:dyDescent="0.2">
      <c r="A6" s="2">
        <v>5</v>
      </c>
      <c r="B6" s="2">
        <v>4.0000000000001457</v>
      </c>
      <c r="C6" s="2">
        <v>17.000000000000099</v>
      </c>
      <c r="D6" s="2">
        <v>5</v>
      </c>
      <c r="E6" s="2">
        <v>2.9999999999999893</v>
      </c>
    </row>
    <row r="7" spans="1:5" x14ac:dyDescent="0.2">
      <c r="A7" s="2">
        <v>6</v>
      </c>
      <c r="B7" s="2">
        <v>3.9999999999999858</v>
      </c>
      <c r="C7" s="2">
        <v>17.000000000000021</v>
      </c>
      <c r="D7" s="2">
        <v>11</v>
      </c>
      <c r="E7" s="2">
        <v>1.9999999999999929</v>
      </c>
    </row>
    <row r="8" spans="1:5" x14ac:dyDescent="0.2">
      <c r="A8" s="2">
        <v>7</v>
      </c>
      <c r="B8" s="2">
        <v>8.999999999999968</v>
      </c>
      <c r="C8" s="2">
        <v>3.9999999999999858</v>
      </c>
      <c r="D8" s="2">
        <v>7</v>
      </c>
      <c r="E8" s="2">
        <v>4.9999999999999822</v>
      </c>
    </row>
    <row r="9" spans="1:5" x14ac:dyDescent="0.2">
      <c r="A9" s="2">
        <v>8</v>
      </c>
      <c r="B9" s="2">
        <v>1.0000000000000764</v>
      </c>
      <c r="C9" s="2">
        <v>33</v>
      </c>
      <c r="D9" s="2">
        <v>9</v>
      </c>
      <c r="E9" s="2">
        <v>6.9999999999999751</v>
      </c>
    </row>
    <row r="10" spans="1:5" x14ac:dyDescent="0.2">
      <c r="A10" s="2">
        <v>9</v>
      </c>
      <c r="B10" s="2">
        <v>8.999999999999968</v>
      </c>
      <c r="C10" s="2">
        <v>23.999999999999993</v>
      </c>
      <c r="D10" s="2">
        <v>6</v>
      </c>
      <c r="E10" s="2">
        <v>4.9999999999998224</v>
      </c>
    </row>
    <row r="11" spans="1:5" x14ac:dyDescent="0.2">
      <c r="A11" s="2">
        <v>10</v>
      </c>
      <c r="B11" s="2">
        <v>1.9999999999999929</v>
      </c>
      <c r="C11" s="2">
        <v>7.0000000000000551</v>
      </c>
      <c r="D11" s="2">
        <v>11</v>
      </c>
      <c r="E11" s="2">
        <v>11.000000000000041</v>
      </c>
    </row>
    <row r="12" spans="1:5" x14ac:dyDescent="0.2">
      <c r="A12" s="2">
        <v>11</v>
      </c>
      <c r="B12" s="2">
        <v>0.99999999999999645</v>
      </c>
      <c r="C12" s="2">
        <v>7.9999999999999716</v>
      </c>
      <c r="D12" s="2">
        <v>3</v>
      </c>
      <c r="E12" s="2">
        <v>4.9999999999999023</v>
      </c>
    </row>
    <row r="13" spans="1:5" x14ac:dyDescent="0.2">
      <c r="A13" s="2">
        <v>12</v>
      </c>
      <c r="B13" s="2">
        <v>0.99999999999991651</v>
      </c>
      <c r="C13" s="2">
        <v>9.9999999999999645</v>
      </c>
      <c r="D13" s="2">
        <v>4</v>
      </c>
      <c r="E13" s="2">
        <v>10.999999999999961</v>
      </c>
    </row>
    <row r="14" spans="1:5" x14ac:dyDescent="0.2">
      <c r="A14" s="2">
        <v>13</v>
      </c>
      <c r="B14" s="2">
        <v>4.0000000000001457</v>
      </c>
      <c r="C14" s="2">
        <v>26.999999999999986</v>
      </c>
      <c r="D14" s="2">
        <v>12</v>
      </c>
      <c r="E14" s="2">
        <v>13.000000000000034</v>
      </c>
    </row>
    <row r="15" spans="1:5" x14ac:dyDescent="0.2">
      <c r="A15" s="2">
        <v>14</v>
      </c>
      <c r="B15" s="2">
        <v>20.000000000000007</v>
      </c>
      <c r="C15" s="2">
        <v>7.0000000000000551</v>
      </c>
      <c r="D15" s="2">
        <v>1</v>
      </c>
      <c r="E15" s="2">
        <v>9.9999999999999645</v>
      </c>
    </row>
    <row r="16" spans="1:5" x14ac:dyDescent="0.2">
      <c r="A16" s="2">
        <v>15</v>
      </c>
      <c r="B16" s="2">
        <v>3.9999999999999858</v>
      </c>
      <c r="C16" s="2">
        <v>22.999999999999918</v>
      </c>
      <c r="D16" s="2">
        <v>3</v>
      </c>
      <c r="E16" s="2">
        <v>2.9999999999999893</v>
      </c>
    </row>
    <row r="17" spans="1:5" x14ac:dyDescent="0.2">
      <c r="A17" s="2">
        <v>16</v>
      </c>
      <c r="B17" s="2">
        <v>1.9999999999999929</v>
      </c>
      <c r="C17" s="2">
        <v>15.999999999999943</v>
      </c>
      <c r="D17" s="2">
        <v>0</v>
      </c>
      <c r="E17" s="2">
        <v>11.999999999999957</v>
      </c>
    </row>
    <row r="18" spans="1:5" x14ac:dyDescent="0.2">
      <c r="A18" s="2">
        <v>17</v>
      </c>
      <c r="B18" s="2">
        <v>12.000000000000117</v>
      </c>
      <c r="C18" s="2">
        <v>3.9999999999999858</v>
      </c>
      <c r="D18" s="2">
        <v>2</v>
      </c>
      <c r="E18" s="2">
        <v>3.9999999999999858</v>
      </c>
    </row>
    <row r="19" spans="1:5" x14ac:dyDescent="0.2">
      <c r="A19" s="2">
        <v>18</v>
      </c>
      <c r="B19" s="2">
        <v>3.9999999999999858</v>
      </c>
      <c r="C19" s="2">
        <v>16.99999999999994</v>
      </c>
      <c r="D19" s="2">
        <v>2</v>
      </c>
      <c r="E19" s="2">
        <v>2.9999999999999893</v>
      </c>
    </row>
    <row r="20" spans="1:5" x14ac:dyDescent="0.2">
      <c r="A20" s="2">
        <v>19</v>
      </c>
      <c r="B20" s="2">
        <v>32.000000000000043</v>
      </c>
      <c r="C20" s="2">
        <v>27.999999999999979</v>
      </c>
      <c r="D20" s="2">
        <v>5</v>
      </c>
      <c r="E20" s="2">
        <v>3.0000000000001492</v>
      </c>
    </row>
    <row r="21" spans="1:5" x14ac:dyDescent="0.2">
      <c r="A21" s="2">
        <v>20</v>
      </c>
      <c r="B21" s="2">
        <v>3.9999999999999858</v>
      </c>
      <c r="C21" s="2">
        <v>13.000000000000114</v>
      </c>
      <c r="D21" s="2">
        <v>4</v>
      </c>
      <c r="E21" s="2">
        <v>10.000000000000044</v>
      </c>
    </row>
    <row r="22" spans="1:5" x14ac:dyDescent="0.2">
      <c r="A22" s="2">
        <v>21</v>
      </c>
      <c r="B22" s="2">
        <v>32.000000000000043</v>
      </c>
      <c r="C22" s="2">
        <v>17.999999999999936</v>
      </c>
      <c r="D22" s="2">
        <v>3</v>
      </c>
      <c r="E22" s="2">
        <v>10.999999999999961</v>
      </c>
    </row>
    <row r="23" spans="1:5" x14ac:dyDescent="0.2">
      <c r="A23" s="2">
        <v>22</v>
      </c>
      <c r="B23" s="2">
        <v>0.99999999999991651</v>
      </c>
      <c r="C23" s="2">
        <v>2.9999999999999893</v>
      </c>
      <c r="D23" s="2">
        <v>6</v>
      </c>
      <c r="E23" s="2">
        <v>1.9999999999999929</v>
      </c>
    </row>
    <row r="24" spans="1:5" x14ac:dyDescent="0.2">
      <c r="A24" s="2">
        <v>23</v>
      </c>
      <c r="B24" s="2">
        <v>14.999999999999947</v>
      </c>
      <c r="C24" s="2">
        <v>3.9999999999999858</v>
      </c>
      <c r="D24" s="2">
        <v>5</v>
      </c>
      <c r="E24" s="2">
        <v>9.000000000000048</v>
      </c>
    </row>
    <row r="25" spans="1:5" x14ac:dyDescent="0.2">
      <c r="A25" s="2">
        <v>24</v>
      </c>
      <c r="B25" s="2">
        <v>9.000000000000048</v>
      </c>
      <c r="C25" s="2">
        <v>11.999999999999957</v>
      </c>
      <c r="D25" s="2">
        <v>2</v>
      </c>
      <c r="E25" s="2">
        <v>2.9999999999999893</v>
      </c>
    </row>
    <row r="26" spans="1:5" x14ac:dyDescent="0.2">
      <c r="A26" s="2">
        <v>25</v>
      </c>
      <c r="B26" s="2">
        <v>1.9999999999999929</v>
      </c>
      <c r="C26" s="2">
        <v>5.0000000000001421</v>
      </c>
      <c r="D26" s="2">
        <v>0</v>
      </c>
      <c r="E26" s="2">
        <v>6.9999999999999751</v>
      </c>
    </row>
    <row r="27" spans="1:5" x14ac:dyDescent="0.2">
      <c r="A27" s="2">
        <v>26</v>
      </c>
      <c r="B27" s="2">
        <v>1.9999999999999929</v>
      </c>
      <c r="C27" s="2">
        <v>29.999999999999972</v>
      </c>
      <c r="D27" s="2">
        <v>1</v>
      </c>
      <c r="E27" s="2">
        <v>3.9999999999999858</v>
      </c>
    </row>
    <row r="28" spans="1:5" x14ac:dyDescent="0.2">
      <c r="A28" s="2">
        <v>27</v>
      </c>
      <c r="B28" s="2">
        <v>46.999999999999993</v>
      </c>
      <c r="C28" s="2">
        <v>21.999999999999922</v>
      </c>
      <c r="D28" s="2">
        <v>7</v>
      </c>
      <c r="E28" s="2">
        <v>9.000000000000048</v>
      </c>
    </row>
    <row r="29" spans="1:5" x14ac:dyDescent="0.2">
      <c r="A29" s="2">
        <v>28</v>
      </c>
      <c r="B29" s="2">
        <v>2.9999999999999893</v>
      </c>
      <c r="C29" s="2">
        <v>19.000000000000014</v>
      </c>
      <c r="D29" s="2">
        <v>7</v>
      </c>
      <c r="E29" s="2">
        <v>2.0000000000000728</v>
      </c>
    </row>
    <row r="30" spans="1:5" x14ac:dyDescent="0.2">
      <c r="A30" s="2">
        <v>29</v>
      </c>
      <c r="B30" s="2">
        <v>26.999999999999904</v>
      </c>
      <c r="C30" s="2">
        <v>9.0000000000001279</v>
      </c>
      <c r="D30" s="2">
        <v>5</v>
      </c>
      <c r="E30" s="2">
        <v>5.9999999999999787</v>
      </c>
    </row>
    <row r="31" spans="1:5" x14ac:dyDescent="0.2">
      <c r="A31" s="2">
        <v>30</v>
      </c>
      <c r="B31" s="2">
        <v>15.000000000000027</v>
      </c>
      <c r="C31" s="2">
        <v>4.9999999999999822</v>
      </c>
      <c r="D31" s="2">
        <v>1</v>
      </c>
      <c r="E31" s="2">
        <v>1.9999999999999929</v>
      </c>
    </row>
    <row r="32" spans="1:5" x14ac:dyDescent="0.2">
      <c r="A32" s="2">
        <v>31</v>
      </c>
      <c r="B32" s="2">
        <v>3.9999999999999858</v>
      </c>
      <c r="C32" s="2">
        <v>8.999999999999968</v>
      </c>
      <c r="D32" s="2">
        <v>1</v>
      </c>
      <c r="E32" s="2">
        <v>1.9999999999999929</v>
      </c>
    </row>
    <row r="33" spans="1:5" x14ac:dyDescent="0.2">
      <c r="A33" s="2">
        <v>32</v>
      </c>
      <c r="B33" s="2">
        <v>1.9999999999999929</v>
      </c>
      <c r="C33" s="2">
        <v>16.000000000000103</v>
      </c>
      <c r="D33" s="2">
        <v>1</v>
      </c>
      <c r="E33" s="2">
        <v>1.9999999999999929</v>
      </c>
    </row>
    <row r="34" spans="1:5" x14ac:dyDescent="0.2">
      <c r="A34" s="2">
        <v>33</v>
      </c>
      <c r="B34" s="2">
        <v>2.9999999999998295</v>
      </c>
      <c r="C34" s="2">
        <v>22</v>
      </c>
      <c r="D34" s="2">
        <v>2</v>
      </c>
      <c r="E34" s="2">
        <v>5.9999999999999787</v>
      </c>
    </row>
    <row r="35" spans="1:5" x14ac:dyDescent="0.2">
      <c r="A35" s="2">
        <v>34</v>
      </c>
      <c r="B35" s="2">
        <v>55.000000000000128</v>
      </c>
      <c r="C35" s="2">
        <v>14.00000000000003</v>
      </c>
      <c r="D35" s="2">
        <v>1</v>
      </c>
      <c r="E35" s="2">
        <v>8.999999999999968</v>
      </c>
    </row>
    <row r="36" spans="1:5" x14ac:dyDescent="0.2">
      <c r="A36" s="2">
        <v>35</v>
      </c>
      <c r="B36" s="2">
        <v>7.9999999999999716</v>
      </c>
      <c r="C36" s="2">
        <v>3.9999999999999858</v>
      </c>
      <c r="D36" s="2">
        <v>8</v>
      </c>
      <c r="E36" s="2">
        <v>7.9999999999999716</v>
      </c>
    </row>
    <row r="37" spans="1:5" x14ac:dyDescent="0.2">
      <c r="A37" s="2">
        <v>36</v>
      </c>
      <c r="B37" s="2">
        <v>5.0000000000001421</v>
      </c>
      <c r="C37" s="2">
        <v>4.0000000000000657</v>
      </c>
      <c r="D37" s="2">
        <v>15</v>
      </c>
      <c r="E37" s="2">
        <v>7.9999999999999716</v>
      </c>
    </row>
    <row r="38" spans="1:5" x14ac:dyDescent="0.2">
      <c r="A38" s="2">
        <v>37</v>
      </c>
      <c r="B38" s="2">
        <v>3.9999999999999858</v>
      </c>
      <c r="C38" s="2">
        <v>9.9999999999999645</v>
      </c>
      <c r="D38" s="2">
        <v>6</v>
      </c>
      <c r="E38" s="2">
        <v>12.000000000000037</v>
      </c>
    </row>
    <row r="39" spans="1:5" x14ac:dyDescent="0.2">
      <c r="A39" s="2">
        <v>38</v>
      </c>
      <c r="B39" s="2">
        <v>3.0000000000000693</v>
      </c>
      <c r="C39" s="2">
        <v>16.000000000000103</v>
      </c>
      <c r="D39" s="2">
        <v>2</v>
      </c>
      <c r="E39" s="2">
        <v>11.000000000000041</v>
      </c>
    </row>
    <row r="40" spans="1:5" x14ac:dyDescent="0.2">
      <c r="A40" s="2">
        <v>39</v>
      </c>
      <c r="B40" s="2">
        <v>0.99999999999999645</v>
      </c>
      <c r="C40" s="2">
        <v>23</v>
      </c>
      <c r="D40" s="2">
        <v>19</v>
      </c>
      <c r="E40" s="2">
        <v>5.0000000000000622</v>
      </c>
    </row>
    <row r="41" spans="1:5" x14ac:dyDescent="0.2">
      <c r="A41" s="2">
        <v>40</v>
      </c>
      <c r="B41" s="2">
        <v>15.999999999999943</v>
      </c>
      <c r="C41" s="2">
        <v>8.0000000000001315</v>
      </c>
      <c r="D41" s="2">
        <v>3</v>
      </c>
      <c r="E41" s="2">
        <v>16.99999999999994</v>
      </c>
    </row>
    <row r="42" spans="1:5" x14ac:dyDescent="0.2">
      <c r="A42" s="2">
        <v>41</v>
      </c>
      <c r="B42" s="2">
        <v>53.999999999999972</v>
      </c>
      <c r="C42" s="2">
        <v>3.0000000000000693</v>
      </c>
      <c r="D42" s="2">
        <v>3</v>
      </c>
      <c r="E42" s="2">
        <v>19.999999999999929</v>
      </c>
    </row>
    <row r="43" spans="1:5" x14ac:dyDescent="0.2">
      <c r="A43" s="2">
        <v>42</v>
      </c>
      <c r="B43" s="2">
        <v>1.9999999999999929</v>
      </c>
      <c r="C43" s="2">
        <v>13.99999999999995</v>
      </c>
      <c r="D43" s="2">
        <v>15</v>
      </c>
      <c r="E43" s="2">
        <v>1.9999999999999929</v>
      </c>
    </row>
    <row r="44" spans="1:5" x14ac:dyDescent="0.2">
      <c r="A44" s="2">
        <v>43</v>
      </c>
      <c r="B44" s="2">
        <v>3.9999999999999858</v>
      </c>
      <c r="C44" s="2">
        <v>13.000000000000034</v>
      </c>
      <c r="D44" s="2">
        <v>6</v>
      </c>
      <c r="E44" s="2">
        <v>17.000000000000099</v>
      </c>
    </row>
    <row r="45" spans="1:5" x14ac:dyDescent="0.2">
      <c r="A45" s="2">
        <v>44</v>
      </c>
      <c r="B45" s="2">
        <v>1.9999999999999929</v>
      </c>
      <c r="C45" s="2">
        <v>4.9999999999999822</v>
      </c>
      <c r="D45" s="2">
        <v>1</v>
      </c>
      <c r="E45" s="2">
        <v>5.0000000000000622</v>
      </c>
    </row>
    <row r="46" spans="1:5" x14ac:dyDescent="0.2">
      <c r="A46" s="2">
        <v>45</v>
      </c>
      <c r="B46" s="2">
        <v>8.9999999999998082</v>
      </c>
      <c r="C46" s="2">
        <v>14.00000000000011</v>
      </c>
      <c r="D46" s="2">
        <v>13</v>
      </c>
      <c r="E46" s="2">
        <v>9.9999999999999645</v>
      </c>
    </row>
    <row r="47" spans="1:5" x14ac:dyDescent="0.2">
      <c r="A47" s="2">
        <v>46</v>
      </c>
      <c r="B47" s="2">
        <v>7.9999999999999716</v>
      </c>
      <c r="C47" s="2">
        <v>5.9999999999999787</v>
      </c>
      <c r="D47" s="2">
        <v>9</v>
      </c>
      <c r="E47" s="2">
        <v>22.999999999999918</v>
      </c>
    </row>
    <row r="48" spans="1:5" x14ac:dyDescent="0.2">
      <c r="A48" s="2">
        <v>47</v>
      </c>
      <c r="B48" s="2">
        <v>0.99999999999999645</v>
      </c>
      <c r="C48" s="2">
        <v>33.000000000000043</v>
      </c>
      <c r="D48" s="2">
        <v>2</v>
      </c>
      <c r="E48" s="2">
        <v>10.000000000000044</v>
      </c>
    </row>
    <row r="49" spans="1:5" x14ac:dyDescent="0.2">
      <c r="A49" s="2">
        <v>48</v>
      </c>
      <c r="B49" s="2">
        <v>3.0000000000000693</v>
      </c>
      <c r="C49" s="2">
        <v>19.999999999999929</v>
      </c>
      <c r="D49" s="2">
        <v>10</v>
      </c>
      <c r="E49" s="2">
        <v>10.999999999999961</v>
      </c>
    </row>
    <row r="50" spans="1:5" x14ac:dyDescent="0.2">
      <c r="A50" s="2">
        <v>49</v>
      </c>
      <c r="B50" s="2">
        <v>12.999999999999954</v>
      </c>
      <c r="C50" s="2">
        <v>18.000000000000096</v>
      </c>
      <c r="D50" s="2">
        <v>1</v>
      </c>
      <c r="E50" s="2">
        <v>8.0000000000001315</v>
      </c>
    </row>
    <row r="51" spans="1:5" x14ac:dyDescent="0.2">
      <c r="A51" s="2">
        <v>50</v>
      </c>
      <c r="B51" s="2">
        <v>1.9999999999999929</v>
      </c>
      <c r="C51" s="2">
        <v>16.99999999999994</v>
      </c>
      <c r="D51" s="2">
        <v>1</v>
      </c>
      <c r="E51" s="2">
        <v>20.000000000000089</v>
      </c>
    </row>
    <row r="52" spans="1:5" x14ac:dyDescent="0.2">
      <c r="A52" s="2">
        <v>51</v>
      </c>
      <c r="B52" s="2">
        <v>0.99999999999999645</v>
      </c>
      <c r="C52" s="2">
        <v>4.9999999999999822</v>
      </c>
      <c r="D52" s="2">
        <v>1</v>
      </c>
      <c r="E52" s="2">
        <v>5.0000000000000622</v>
      </c>
    </row>
    <row r="53" spans="1:5" x14ac:dyDescent="0.2">
      <c r="A53" s="2">
        <v>52</v>
      </c>
      <c r="B53" s="2">
        <v>3.9999999999999858</v>
      </c>
      <c r="C53" s="2">
        <v>5.9999999999999787</v>
      </c>
      <c r="D53" s="2">
        <v>3</v>
      </c>
      <c r="E53" s="2">
        <v>8.999999999999968</v>
      </c>
    </row>
    <row r="54" spans="1:5" x14ac:dyDescent="0.2">
      <c r="A54" s="2">
        <v>53</v>
      </c>
      <c r="B54" s="2">
        <v>2.9999999999999094</v>
      </c>
      <c r="C54" s="2">
        <v>7.9999999999999716</v>
      </c>
      <c r="D54" s="2">
        <v>3</v>
      </c>
      <c r="E54" s="2">
        <v>9.9999999999999645</v>
      </c>
    </row>
    <row r="55" spans="1:5" x14ac:dyDescent="0.2">
      <c r="A55" s="2">
        <v>54</v>
      </c>
      <c r="B55" s="2">
        <v>8.999999999999968</v>
      </c>
      <c r="C55" s="2">
        <v>13.000000000000034</v>
      </c>
      <c r="D55" s="2">
        <v>2</v>
      </c>
      <c r="E55" s="2">
        <v>13.000000000000114</v>
      </c>
    </row>
    <row r="56" spans="1:5" x14ac:dyDescent="0.2">
      <c r="A56" s="2">
        <v>55</v>
      </c>
      <c r="B56" s="2">
        <v>22.000000000000082</v>
      </c>
      <c r="C56" s="2">
        <v>9.9999999999999645</v>
      </c>
      <c r="D56" s="2">
        <v>7</v>
      </c>
      <c r="E56" s="2">
        <v>33.999999999999957</v>
      </c>
    </row>
    <row r="57" spans="1:5" x14ac:dyDescent="0.2">
      <c r="A57" s="2">
        <v>56</v>
      </c>
      <c r="B57" s="2">
        <v>5.9999999999999787</v>
      </c>
      <c r="C57" s="2">
        <v>23.999999999999993</v>
      </c>
      <c r="D57" s="2">
        <v>2</v>
      </c>
      <c r="E57" s="2">
        <v>7.0000000000000551</v>
      </c>
    </row>
    <row r="58" spans="1:5" x14ac:dyDescent="0.2">
      <c r="A58" s="2">
        <v>57</v>
      </c>
      <c r="B58" s="2">
        <v>9.9999999999999645</v>
      </c>
      <c r="C58" s="2">
        <v>11.000000000000041</v>
      </c>
      <c r="D58" s="2">
        <v>7</v>
      </c>
      <c r="E58" s="2">
        <v>8.0000000000001315</v>
      </c>
    </row>
    <row r="59" spans="1:5" x14ac:dyDescent="0.2">
      <c r="A59" s="2">
        <v>58</v>
      </c>
      <c r="B59" s="2">
        <v>3.9999999999999858</v>
      </c>
      <c r="C59" s="2">
        <v>2.9999999999999893</v>
      </c>
      <c r="D59" s="2">
        <v>4</v>
      </c>
      <c r="E59" s="2">
        <v>8.0000000000001315</v>
      </c>
    </row>
    <row r="60" spans="1:5" x14ac:dyDescent="0.2">
      <c r="A60" s="2">
        <v>59</v>
      </c>
      <c r="B60" s="2">
        <v>5.9999999999999787</v>
      </c>
      <c r="C60" s="2">
        <v>11.000000000000041</v>
      </c>
      <c r="D60" s="2">
        <v>6</v>
      </c>
      <c r="E60" s="2">
        <v>12.999999999999954</v>
      </c>
    </row>
    <row r="61" spans="1:5" x14ac:dyDescent="0.2">
      <c r="A61" s="2">
        <v>60</v>
      </c>
      <c r="B61" s="2">
        <v>2.9999999999999893</v>
      </c>
      <c r="C61" s="2">
        <v>5.0000000000000622</v>
      </c>
      <c r="D61" s="2">
        <v>5</v>
      </c>
      <c r="E61" s="2">
        <v>4.9999999999999822</v>
      </c>
    </row>
    <row r="62" spans="1:5" x14ac:dyDescent="0.2">
      <c r="A62" s="2">
        <v>61</v>
      </c>
      <c r="B62" s="2">
        <v>20.000000000000007</v>
      </c>
      <c r="C62" s="2">
        <v>2.9999999999999893</v>
      </c>
      <c r="D62" s="2">
        <v>4</v>
      </c>
      <c r="E62" s="2">
        <v>7.9999999999999716</v>
      </c>
    </row>
    <row r="63" spans="1:5" x14ac:dyDescent="0.2">
      <c r="A63" s="2">
        <v>62</v>
      </c>
      <c r="B63" s="2">
        <v>13.99999999999995</v>
      </c>
      <c r="C63" s="2">
        <v>13.000000000000034</v>
      </c>
      <c r="D63" s="2">
        <v>9</v>
      </c>
      <c r="E63" s="2">
        <v>7.0000000000000551</v>
      </c>
    </row>
    <row r="64" spans="1:5" x14ac:dyDescent="0.2">
      <c r="A64" s="2">
        <v>63</v>
      </c>
      <c r="B64" s="2">
        <v>10.999999999999961</v>
      </c>
      <c r="C64" s="2">
        <v>3.9999999999999858</v>
      </c>
      <c r="D64" s="2">
        <v>16</v>
      </c>
      <c r="E64" s="2">
        <v>1.9999999999999929</v>
      </c>
    </row>
    <row r="65" spans="1:5" x14ac:dyDescent="0.2">
      <c r="A65" s="2">
        <v>64</v>
      </c>
      <c r="B65" s="2">
        <v>9.9999999999999645</v>
      </c>
      <c r="C65" s="2">
        <v>8.999999999999968</v>
      </c>
      <c r="D65" s="2">
        <v>2</v>
      </c>
      <c r="E65" s="2">
        <v>5.0000000000000622</v>
      </c>
    </row>
    <row r="66" spans="1:5" x14ac:dyDescent="0.2">
      <c r="A66" s="2">
        <v>65</v>
      </c>
      <c r="B66" s="2">
        <v>9.9999999999999645</v>
      </c>
      <c r="C66" s="2">
        <v>19.000000000000092</v>
      </c>
      <c r="D66" s="2">
        <v>3</v>
      </c>
      <c r="E66" s="2">
        <v>12.000000000000037</v>
      </c>
    </row>
    <row r="67" spans="1:5" x14ac:dyDescent="0.2">
      <c r="A67" s="2">
        <v>66</v>
      </c>
      <c r="B67" s="2">
        <v>8.999999999999968</v>
      </c>
      <c r="C67" s="2">
        <v>13.000000000000114</v>
      </c>
      <c r="D67" s="2">
        <v>0</v>
      </c>
      <c r="E67" s="2">
        <v>2.9999999999999893</v>
      </c>
    </row>
    <row r="68" spans="1:5" x14ac:dyDescent="0.2">
      <c r="A68" s="2">
        <v>67</v>
      </c>
      <c r="B68" s="2">
        <v>5.9999999999999787</v>
      </c>
      <c r="C68" s="2">
        <v>9.9999999999999645</v>
      </c>
      <c r="D68" s="2">
        <v>4</v>
      </c>
      <c r="E68" s="2">
        <v>9.9999999999999645</v>
      </c>
    </row>
    <row r="69" spans="1:5" x14ac:dyDescent="0.2">
      <c r="A69" s="2">
        <v>68</v>
      </c>
      <c r="B69" s="2">
        <v>1.9999999999999929</v>
      </c>
      <c r="C69" s="2">
        <v>15.999999999999943</v>
      </c>
      <c r="D69" s="2">
        <v>9</v>
      </c>
      <c r="E69" s="2">
        <v>5.0000000000000622</v>
      </c>
    </row>
    <row r="70" spans="1:5" x14ac:dyDescent="0.2">
      <c r="A70" s="2">
        <v>69</v>
      </c>
      <c r="B70" s="2">
        <v>2.9999999999999893</v>
      </c>
      <c r="C70" s="2">
        <v>9.9999999999999645</v>
      </c>
      <c r="D70" s="2">
        <v>11</v>
      </c>
      <c r="E70" s="2">
        <v>3.0000000000000693</v>
      </c>
    </row>
    <row r="71" spans="1:5" x14ac:dyDescent="0.2">
      <c r="A71" s="2">
        <v>70</v>
      </c>
      <c r="B71" s="2">
        <v>17.999999999999936</v>
      </c>
      <c r="C71" s="2">
        <v>9.0000000000001279</v>
      </c>
      <c r="D71" s="2">
        <v>2</v>
      </c>
      <c r="E71" s="2">
        <v>5.0000000000000622</v>
      </c>
    </row>
    <row r="72" spans="1:5" x14ac:dyDescent="0.2">
      <c r="A72" s="2">
        <v>71</v>
      </c>
      <c r="B72" s="2">
        <v>0.99999999999991651</v>
      </c>
      <c r="C72" s="2">
        <v>11.000000000000041</v>
      </c>
      <c r="D72" s="2">
        <v>2</v>
      </c>
      <c r="E72" s="2">
        <v>12.000000000000117</v>
      </c>
    </row>
    <row r="73" spans="1:5" x14ac:dyDescent="0.2">
      <c r="A73" s="2">
        <v>72</v>
      </c>
      <c r="B73" s="2">
        <v>33.999999999999957</v>
      </c>
      <c r="C73" s="2">
        <v>23.999999999999915</v>
      </c>
      <c r="D73" s="2">
        <v>6</v>
      </c>
      <c r="E73" s="2">
        <v>7.9999999999999716</v>
      </c>
    </row>
    <row r="74" spans="1:5" x14ac:dyDescent="0.2">
      <c r="A74" s="2">
        <v>73</v>
      </c>
      <c r="B74" s="2">
        <v>4.9999999999999822</v>
      </c>
      <c r="C74" s="2">
        <v>9.9999999999999645</v>
      </c>
      <c r="D74" s="2">
        <v>3</v>
      </c>
      <c r="E74" s="2">
        <v>12.999999999999954</v>
      </c>
    </row>
    <row r="75" spans="1:5" x14ac:dyDescent="0.2">
      <c r="A75" s="2">
        <v>74</v>
      </c>
      <c r="B75" s="2">
        <v>26.000000000000068</v>
      </c>
      <c r="C75" s="2">
        <v>10.999999999999881</v>
      </c>
      <c r="D75" s="2">
        <v>1</v>
      </c>
      <c r="E75" s="2">
        <v>6.9999999999999751</v>
      </c>
    </row>
    <row r="76" spans="1:5" x14ac:dyDescent="0.2">
      <c r="A76" s="2">
        <v>75</v>
      </c>
      <c r="B76" s="2">
        <v>27.999999999999901</v>
      </c>
      <c r="C76" s="2">
        <v>10.000000000000044</v>
      </c>
      <c r="D76" s="2">
        <v>2</v>
      </c>
      <c r="E76" s="2">
        <v>1.9999999999999929</v>
      </c>
    </row>
    <row r="77" spans="1:5" x14ac:dyDescent="0.2">
      <c r="A77" s="2">
        <v>76</v>
      </c>
      <c r="B77" s="2">
        <v>14.00000000000003</v>
      </c>
      <c r="C77" s="2">
        <v>14.00000000000003</v>
      </c>
      <c r="D77" s="2">
        <v>5</v>
      </c>
      <c r="E77" s="2">
        <v>2.9999999999999893</v>
      </c>
    </row>
    <row r="78" spans="1:5" x14ac:dyDescent="0.2">
      <c r="A78" s="2">
        <v>77</v>
      </c>
      <c r="B78" s="2">
        <v>10.000000000000044</v>
      </c>
      <c r="C78" s="2">
        <v>4.9999999999999822</v>
      </c>
      <c r="D78" s="2">
        <v>4</v>
      </c>
      <c r="E78" s="2">
        <v>24.999999999999911</v>
      </c>
    </row>
    <row r="79" spans="1:5" x14ac:dyDescent="0.2">
      <c r="A79" s="2">
        <v>78</v>
      </c>
      <c r="B79" s="2">
        <v>3.9999999999999858</v>
      </c>
      <c r="C79" s="2">
        <v>4.9999999999999822</v>
      </c>
      <c r="D79" s="2">
        <v>5</v>
      </c>
      <c r="E79" s="2">
        <v>11.000000000000041</v>
      </c>
    </row>
    <row r="80" spans="1:5" x14ac:dyDescent="0.2">
      <c r="A80" s="2">
        <v>79</v>
      </c>
      <c r="B80" s="2">
        <v>1.0000000000000764</v>
      </c>
      <c r="C80" s="2">
        <v>11.000000000000121</v>
      </c>
      <c r="D80" s="2">
        <v>6</v>
      </c>
      <c r="E80" s="2">
        <v>12.999999999999954</v>
      </c>
    </row>
    <row r="81" spans="1:5" x14ac:dyDescent="0.2">
      <c r="A81" s="2">
        <v>80</v>
      </c>
      <c r="B81" s="2">
        <v>5.9999999999999787</v>
      </c>
      <c r="C81" s="2">
        <v>6.9999999999999751</v>
      </c>
      <c r="D81" s="2">
        <v>1</v>
      </c>
      <c r="E81" s="2">
        <v>13.99999999999995</v>
      </c>
    </row>
    <row r="82" spans="1:5" x14ac:dyDescent="0.2">
      <c r="A82" s="2">
        <v>81</v>
      </c>
      <c r="B82" s="2">
        <v>4.9999999999999822</v>
      </c>
      <c r="C82" s="2">
        <v>16.99999999999994</v>
      </c>
      <c r="D82" s="2">
        <v>3</v>
      </c>
      <c r="E82" s="2">
        <v>3.9999999999999858</v>
      </c>
    </row>
    <row r="83" spans="1:5" x14ac:dyDescent="0.2">
      <c r="A83" s="2">
        <v>82</v>
      </c>
      <c r="B83" s="2">
        <v>9.9999999999999645</v>
      </c>
      <c r="C83" s="2">
        <v>6.9999999999999751</v>
      </c>
      <c r="D83" s="2">
        <v>10</v>
      </c>
      <c r="E83" s="2">
        <v>8.999999999999968</v>
      </c>
    </row>
    <row r="84" spans="1:5" x14ac:dyDescent="0.2">
      <c r="A84" s="2">
        <v>83</v>
      </c>
      <c r="B84" s="2">
        <v>8.999999999999968</v>
      </c>
      <c r="C84" s="2">
        <v>20.000000000000007</v>
      </c>
      <c r="D84" s="2">
        <v>7</v>
      </c>
      <c r="E84" s="2">
        <v>16.99999999999994</v>
      </c>
    </row>
    <row r="85" spans="1:5" x14ac:dyDescent="0.2">
      <c r="A85" s="2">
        <v>84</v>
      </c>
      <c r="B85" s="2">
        <v>9.0000000000001279</v>
      </c>
      <c r="C85" s="2">
        <v>6.9999999999999751</v>
      </c>
      <c r="D85" s="2">
        <v>2</v>
      </c>
      <c r="E85" s="2">
        <v>5.9999999999999787</v>
      </c>
    </row>
    <row r="86" spans="1:5" x14ac:dyDescent="0.2">
      <c r="A86" s="2">
        <v>85</v>
      </c>
      <c r="B86" s="2">
        <v>4.9999999999999822</v>
      </c>
      <c r="C86" s="2">
        <v>2.9999999999999893</v>
      </c>
      <c r="D86" s="2">
        <v>4</v>
      </c>
      <c r="E86" s="2">
        <v>2.0000000000000728</v>
      </c>
    </row>
    <row r="87" spans="1:5" x14ac:dyDescent="0.2">
      <c r="A87" s="2">
        <v>86</v>
      </c>
      <c r="B87" s="2">
        <v>5.9999999999999787</v>
      </c>
      <c r="C87" s="2">
        <v>6.9999999999999751</v>
      </c>
      <c r="D87" s="2">
        <v>5</v>
      </c>
      <c r="E87" s="2">
        <v>1.9999999999999929</v>
      </c>
    </row>
    <row r="88" spans="1:5" x14ac:dyDescent="0.2">
      <c r="A88" s="2">
        <v>87</v>
      </c>
      <c r="B88" s="2">
        <v>4.9999999999999822</v>
      </c>
      <c r="C88" s="2">
        <v>4.9999999999999822</v>
      </c>
      <c r="D88" s="2">
        <v>6</v>
      </c>
      <c r="E88" s="2">
        <v>5.9999999999999787</v>
      </c>
    </row>
    <row r="89" spans="1:5" x14ac:dyDescent="0.2">
      <c r="A89" s="2">
        <v>88</v>
      </c>
      <c r="B89" s="2">
        <v>3.9999999999999858</v>
      </c>
      <c r="C89" s="2">
        <v>17.000000000000021</v>
      </c>
      <c r="D89" s="2">
        <v>7</v>
      </c>
      <c r="E89" s="2">
        <v>10.999999999999961</v>
      </c>
    </row>
    <row r="90" spans="1:5" x14ac:dyDescent="0.2">
      <c r="A90" s="2">
        <v>89</v>
      </c>
      <c r="B90" s="2">
        <v>0.99999999999983658</v>
      </c>
      <c r="C90" s="2">
        <v>13.99999999999995</v>
      </c>
      <c r="D90" s="2">
        <v>6</v>
      </c>
      <c r="E90" s="2">
        <v>11.999999999999957</v>
      </c>
    </row>
    <row r="91" spans="1:5" x14ac:dyDescent="0.2">
      <c r="A91" s="2">
        <v>90</v>
      </c>
      <c r="B91" s="2">
        <v>18.999999999999932</v>
      </c>
      <c r="C91" s="2">
        <v>16.000000000000021</v>
      </c>
      <c r="D91" s="2">
        <v>8</v>
      </c>
      <c r="E91" s="2">
        <v>1.9999999999999929</v>
      </c>
    </row>
    <row r="92" spans="1:5" x14ac:dyDescent="0.2">
      <c r="A92" s="2">
        <v>91</v>
      </c>
      <c r="B92" s="2">
        <v>4.9999999999999822</v>
      </c>
      <c r="C92" s="2">
        <v>5.0000000000000622</v>
      </c>
      <c r="D92" s="2">
        <v>10</v>
      </c>
      <c r="E92" s="2">
        <v>6.9999999999998952</v>
      </c>
    </row>
    <row r="93" spans="1:5" x14ac:dyDescent="0.2">
      <c r="A93" s="2">
        <v>92</v>
      </c>
      <c r="B93" s="2">
        <v>9.9999999999999645</v>
      </c>
      <c r="C93" s="2">
        <v>13.000000000000034</v>
      </c>
      <c r="D93" s="2">
        <v>1</v>
      </c>
      <c r="E93" s="2">
        <v>56.000000000000036</v>
      </c>
    </row>
    <row r="94" spans="1:5" x14ac:dyDescent="0.2">
      <c r="A94" s="2">
        <v>93</v>
      </c>
      <c r="B94" s="2">
        <v>7.0000000000000551</v>
      </c>
      <c r="C94" s="2">
        <v>7.9999999999999716</v>
      </c>
      <c r="D94" s="2">
        <v>4</v>
      </c>
      <c r="E94" s="2">
        <v>11.000000000000041</v>
      </c>
    </row>
    <row r="95" spans="1:5" x14ac:dyDescent="0.2">
      <c r="A95" s="2">
        <v>94</v>
      </c>
      <c r="B95" s="2">
        <v>3.9999999999999858</v>
      </c>
      <c r="C95" s="2">
        <v>11.999999999999957</v>
      </c>
      <c r="D95" s="2">
        <v>7</v>
      </c>
      <c r="E95" s="2">
        <v>2.9999999999999893</v>
      </c>
    </row>
    <row r="96" spans="1:5" x14ac:dyDescent="0.2">
      <c r="A96" s="2">
        <v>95</v>
      </c>
      <c r="B96" s="2">
        <v>7.9999999999999716</v>
      </c>
      <c r="C96" s="2">
        <v>23.999999999999993</v>
      </c>
      <c r="D96" s="2">
        <v>5</v>
      </c>
      <c r="E96" s="2">
        <v>4.9999999999999023</v>
      </c>
    </row>
    <row r="97" spans="1:5" x14ac:dyDescent="0.2">
      <c r="A97" s="2">
        <v>96</v>
      </c>
      <c r="B97" s="2">
        <v>5.0000000000000622</v>
      </c>
      <c r="C97" s="2">
        <v>24.999999999999911</v>
      </c>
      <c r="D97" s="2">
        <v>4</v>
      </c>
      <c r="E97" s="2">
        <v>5.0000000000000622</v>
      </c>
    </row>
    <row r="98" spans="1:5" x14ac:dyDescent="0.2">
      <c r="A98" s="2">
        <v>97</v>
      </c>
      <c r="B98" s="2">
        <v>4.9999999999999023</v>
      </c>
      <c r="C98" s="2">
        <v>7.9999999999999716</v>
      </c>
      <c r="D98" s="2">
        <v>3</v>
      </c>
      <c r="E98" s="2">
        <v>9.000000000000048</v>
      </c>
    </row>
    <row r="99" spans="1:5" x14ac:dyDescent="0.2">
      <c r="A99" s="2">
        <v>98</v>
      </c>
      <c r="B99" s="2">
        <v>1.9999999999999929</v>
      </c>
      <c r="C99" s="2">
        <v>7.9999999999999716</v>
      </c>
      <c r="D99" s="2">
        <v>10</v>
      </c>
      <c r="E99" s="2">
        <v>2.9999999999999094</v>
      </c>
    </row>
    <row r="100" spans="1:5" x14ac:dyDescent="0.2">
      <c r="A100" s="2">
        <v>99</v>
      </c>
      <c r="B100" s="2">
        <v>1.9999999999999929</v>
      </c>
      <c r="C100" s="2">
        <v>2.9999999999999094</v>
      </c>
      <c r="D100" s="2">
        <v>6</v>
      </c>
      <c r="E100" s="2">
        <v>6.9999999999999751</v>
      </c>
    </row>
    <row r="101" spans="1:5" x14ac:dyDescent="0.2">
      <c r="A101" s="2">
        <v>100</v>
      </c>
      <c r="B101" s="2">
        <v>6.0000000000000586</v>
      </c>
      <c r="C101" s="2">
        <v>7.9999999999999716</v>
      </c>
      <c r="D101" s="2">
        <v>14</v>
      </c>
      <c r="E101" s="2">
        <v>10.000000000000124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0B3ABE97ABF6848AB3FADFC5D8CB135" ma:contentTypeVersion="13" ma:contentTypeDescription="Opprett et nytt dokument." ma:contentTypeScope="" ma:versionID="c067e607ff9db1193cafbcd1825b80c6">
  <xsd:schema xmlns:xsd="http://www.w3.org/2001/XMLSchema" xmlns:xs="http://www.w3.org/2001/XMLSchema" xmlns:p="http://schemas.microsoft.com/office/2006/metadata/properties" xmlns:ns2="cced3fcd-d91f-4ea5-8593-0f61ccbe4f65" targetNamespace="http://schemas.microsoft.com/office/2006/metadata/properties" ma:root="true" ma:fieldsID="d048e671f9d0816d9d1a0b107ea81444" ns2:_="">
    <xsd:import namespace="cced3fcd-d91f-4ea5-8593-0f61ccbe4f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d3fcd-d91f-4ea5-8593-0f61ccbe4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emerkelapper" ma:readOnly="false" ma:fieldId="{5cf76f15-5ced-4ddc-b409-7134ff3c332f}" ma:taxonomyMulti="true" ma:sspId="1e71c625-46c0-40f9-b5bc-6dd1c5b275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d3fcd-d91f-4ea5-8593-0f61ccbe4f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C51586-5B37-42F4-8752-290CF2BDAB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250D3F-9DB7-42AD-BF22-1ADCE8DB2D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ed3fcd-d91f-4ea5-8593-0f61ccbe4f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049347-BA49-4E27-A01C-D74ECEAA98B9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cced3fcd-d91f-4ea5-8593-0f61ccbe4f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Exhibit2</vt:lpstr>
      <vt:lpstr>Exhibit3</vt:lpstr>
      <vt:lpstr>Exhibit4</vt:lpstr>
      <vt:lpstr>Exhibit6</vt:lpstr>
      <vt:lpstr>Exhibit7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Chester Chambers</dc:creator>
  <cp:keywords/>
  <dc:description/>
  <cp:lastModifiedBy>Peter Tveita</cp:lastModifiedBy>
  <cp:revision/>
  <dcterms:created xsi:type="dcterms:W3CDTF">2012-07-18T16:01:04Z</dcterms:created>
  <dcterms:modified xsi:type="dcterms:W3CDTF">2026-04-12T11:54:21Z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0x01010050B3ABE97ABF6848AB3FADFC5D8CB135</vt:lpwstr>
  </property>
</Properties>
</file>